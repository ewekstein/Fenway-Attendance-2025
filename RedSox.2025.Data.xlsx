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wekstein/Desktop/Career/Projects/Independent Projects/"/>
    </mc:Choice>
  </mc:AlternateContent>
  <xr:revisionPtr revIDLastSave="0" documentId="13_ncr:1_{D2E51A51-B1D0-F842-B402-B2EFBE26AC1D}" xr6:coauthVersionLast="47" xr6:coauthVersionMax="47" xr10:uidLastSave="{00000000-0000-0000-0000-000000000000}"/>
  <bookViews>
    <workbookView xWindow="-32080" yWindow="-8280" windowWidth="29400" windowHeight="18460" activeTab="1" xr2:uid="{093796E5-C29F-CB4F-90F1-DFB33126C104}"/>
  </bookViews>
  <sheets>
    <sheet name="RedSox 25" sheetId="1" r:id="rId1"/>
    <sheet name="Streak Viz Data" sheetId="3" r:id="rId2"/>
  </sheets>
  <definedNames>
    <definedName name="_xlnm._FilterDatabase" localSheetId="0" hidden="1">'RedSox 25'!$G$1:$G$163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2" i="1"/>
</calcChain>
</file>

<file path=xl/sharedStrings.xml><?xml version="1.0" encoding="utf-8"?>
<sst xmlns="http://schemas.openxmlformats.org/spreadsheetml/2006/main" count="1175" uniqueCount="81">
  <si>
    <t>Gm#</t>
  </si>
  <si>
    <t>Tm</t>
  </si>
  <si>
    <t>Opp</t>
  </si>
  <si>
    <t>W/L</t>
  </si>
  <si>
    <t>Rank</t>
  </si>
  <si>
    <t>GB</t>
  </si>
  <si>
    <t>D/N</t>
  </si>
  <si>
    <t>Attendance</t>
  </si>
  <si>
    <t>cLI</t>
  </si>
  <si>
    <t>Streak</t>
  </si>
  <si>
    <t>BOS</t>
  </si>
  <si>
    <t>TEX</t>
  </si>
  <si>
    <t>W</t>
  </si>
  <si>
    <t>D</t>
  </si>
  <si>
    <t>L</t>
  </si>
  <si>
    <t>N</t>
  </si>
  <si>
    <t>BAL</t>
  </si>
  <si>
    <t>STL</t>
  </si>
  <si>
    <t>TOR</t>
  </si>
  <si>
    <t>CHW</t>
  </si>
  <si>
    <t>TBR</t>
  </si>
  <si>
    <t>SEA</t>
  </si>
  <si>
    <t>CLE</t>
  </si>
  <si>
    <t>MIN</t>
  </si>
  <si>
    <t>KCR</t>
  </si>
  <si>
    <t>DET</t>
  </si>
  <si>
    <t>ATL</t>
  </si>
  <si>
    <t>NYM</t>
  </si>
  <si>
    <t>MIL</t>
  </si>
  <si>
    <t>LAA</t>
  </si>
  <si>
    <t>NYY</t>
  </si>
  <si>
    <t>SFG</t>
  </si>
  <si>
    <t>CIN</t>
  </si>
  <si>
    <t>WSN</t>
  </si>
  <si>
    <t>COL</t>
  </si>
  <si>
    <t>CHC</t>
  </si>
  <si>
    <t>PHI</t>
  </si>
  <si>
    <t>LAD</t>
  </si>
  <si>
    <t>HOU</t>
  </si>
  <si>
    <t>SDP</t>
  </si>
  <si>
    <t>MIA</t>
  </si>
  <si>
    <t>PIT</t>
  </si>
  <si>
    <t>ARI</t>
  </si>
  <si>
    <t>ATH</t>
  </si>
  <si>
    <t>Max Capacity</t>
  </si>
  <si>
    <t>Atnd %</t>
  </si>
  <si>
    <t>Thursday</t>
  </si>
  <si>
    <t>Friday</t>
  </si>
  <si>
    <t>Saturday</t>
  </si>
  <si>
    <t>Sunday</t>
  </si>
  <si>
    <t>Monday</t>
  </si>
  <si>
    <t>Wednesday</t>
  </si>
  <si>
    <t>Tuesday</t>
  </si>
  <si>
    <t>Day of Week</t>
  </si>
  <si>
    <t>Playoff %</t>
  </si>
  <si>
    <t>Mar</t>
  </si>
  <si>
    <t>Apr</t>
  </si>
  <si>
    <t>May</t>
  </si>
  <si>
    <t>Jun</t>
  </si>
  <si>
    <t>Jul</t>
  </si>
  <si>
    <t>Aug</t>
  </si>
  <si>
    <t>Sep</t>
  </si>
  <si>
    <t>Month</t>
  </si>
  <si>
    <t>Day</t>
  </si>
  <si>
    <t>H/A</t>
  </si>
  <si>
    <t>Home</t>
  </si>
  <si>
    <t>Away</t>
  </si>
  <si>
    <t>Date</t>
  </si>
  <si>
    <t>Importance</t>
  </si>
  <si>
    <t>(use as reference line in Tableau)</t>
  </si>
  <si>
    <t>Season Avg</t>
  </si>
  <si>
    <t>Jul 13</t>
  </si>
  <si>
    <t>Jul 12</t>
  </si>
  <si>
    <t>Jul 11</t>
  </si>
  <si>
    <t>Jul 10</t>
  </si>
  <si>
    <t>Jul 9</t>
  </si>
  <si>
    <t>Jul 8</t>
  </si>
  <si>
    <t>Jul 7</t>
  </si>
  <si>
    <t>Attendance %</t>
  </si>
  <si>
    <t>Opponent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</si>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</sst>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i/>
      <sz val="11"/>
      <color rgb="FF555555"/>
      <name val="Arial"/>
      <family val="2"/>
    </font>
    <font>
      <b/>
      <i/>
      <sz val="11"/>
      <color rgb="FF555555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303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2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3" fontId="0" fillId="0" borderId="0" xfId="0" applyNumberFormat="1"/>
    <xf numFmtId="3" fontId="18" fillId="0" borderId="0" xfId="0" applyNumberFormat="1" applyFont="1" applyAlignment="1">
      <alignment wrapText="1"/>
    </xf>
    <xf numFmtId="10" fontId="19" fillId="0" borderId="0" xfId="1" applyNumberFormat="1" applyFont="1" applyAlignment="1">
      <alignment horizontal="center" vertical="center" wrapText="1"/>
    </xf>
    <xf numFmtId="10" fontId="0" fillId="0" borderId="0" xfId="1" applyNumberFormat="1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22" fillId="0" borderId="0" xfId="0" applyFont="1"/>
    <xf numFmtId="3" fontId="21" fillId="0" borderId="0" xfId="0" applyNumberFormat="1" applyFont="1"/>
    <xf numFmtId="164" fontId="19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164" fontId="22" fillId="0" borderId="0" xfId="1" applyNumberFormat="1" applyFont="1"/>
    <xf numFmtId="164" fontId="0" fillId="0" borderId="0" xfId="0" applyNumberFormat="1"/>
    <xf numFmtId="14" fontId="19" fillId="0" borderId="0" xfId="0" applyNumberFormat="1" applyFont="1" applyAlignment="1">
      <alignment horizontal="center" vertical="center" wrapText="1"/>
    </xf>
    <xf numFmtId="0" fontId="23" fillId="0" borderId="0" xfId="43"/>
    <xf numFmtId="0" fontId="24" fillId="0" borderId="0" xfId="43" applyFont="1"/>
    <xf numFmtId="164" fontId="25" fillId="0" borderId="0" xfId="43" applyNumberFormat="1" applyFont="1"/>
    <xf numFmtId="0" fontId="25" fillId="0" borderId="0" xfId="43" applyFont="1"/>
    <xf numFmtId="164" fontId="26" fillId="0" borderId="0" xfId="43" applyNumberFormat="1" applyFont="1" applyAlignment="1">
      <alignment horizontal="center"/>
    </xf>
    <xf numFmtId="0" fontId="26" fillId="0" borderId="0" xfId="43" applyFont="1" applyAlignment="1">
      <alignment horizontal="center"/>
    </xf>
    <xf numFmtId="0" fontId="27" fillId="33" borderId="0" xfId="43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2685C51-96B7-EA4A-A795-C867C34513B7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8A48-13B3-B44B-8122-F38717F322C6}">
  <dimension ref="A1:T163"/>
  <sheetViews>
    <sheetView zoomScale="124" workbookViewId="0">
      <selection activeCell="I17" sqref="I17"/>
    </sheetView>
  </sheetViews>
  <sheetFormatPr baseColWidth="10" defaultColWidth="8.83203125" defaultRowHeight="16" x14ac:dyDescent="0.2"/>
  <cols>
    <col min="1" max="1" width="4.33203125" bestFit="1" customWidth="1"/>
    <col min="2" max="2" width="7.5" customWidth="1"/>
    <col min="3" max="3" width="14.6640625" bestFit="1" customWidth="1"/>
    <col min="4" max="4" width="14.6640625" customWidth="1"/>
    <col min="5" max="5" width="6.33203125" customWidth="1"/>
    <col min="6" max="6" width="4.1640625" bestFit="1" customWidth="1"/>
    <col min="7" max="7" width="6.33203125" customWidth="1"/>
    <col min="8" max="8" width="4.5" bestFit="1" customWidth="1"/>
    <col min="9" max="9" width="5" bestFit="1" customWidth="1"/>
    <col min="10" max="10" width="4.6640625" bestFit="1" customWidth="1"/>
    <col min="11" max="11" width="4.5" bestFit="1" customWidth="1"/>
    <col min="12" max="12" width="3.83203125" bestFit="1" customWidth="1"/>
    <col min="13" max="13" width="9" bestFit="1" customWidth="1"/>
    <col min="14" max="14" width="4.5" bestFit="1" customWidth="1"/>
    <col min="15" max="15" width="9.5" bestFit="1" customWidth="1"/>
    <col min="16" max="16" width="9.5" style="10" customWidth="1"/>
    <col min="17" max="17" width="8.83203125" style="7"/>
    <col min="18" max="18" width="8.83203125" style="13"/>
    <col min="20" max="20" width="8.83203125" customWidth="1"/>
  </cols>
  <sheetData>
    <row r="1" spans="1:20" ht="24" customHeight="1" x14ac:dyDescent="0.2">
      <c r="A1" s="1" t="s">
        <v>0</v>
      </c>
      <c r="B1" s="1" t="s">
        <v>67</v>
      </c>
      <c r="C1" s="1" t="s">
        <v>53</v>
      </c>
      <c r="D1" s="1" t="s">
        <v>62</v>
      </c>
      <c r="E1" s="1" t="s">
        <v>63</v>
      </c>
      <c r="F1" s="1" t="s">
        <v>1</v>
      </c>
      <c r="G1" s="1" t="s">
        <v>64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8" t="s">
        <v>44</v>
      </c>
      <c r="Q1" s="6" t="s">
        <v>45</v>
      </c>
      <c r="R1" s="12" t="s">
        <v>54</v>
      </c>
      <c r="S1" s="8" t="s">
        <v>68</v>
      </c>
    </row>
    <row r="2" spans="1:20" x14ac:dyDescent="0.2">
      <c r="A2" s="1">
        <v>1</v>
      </c>
      <c r="B2" s="16">
        <f>DATE(2025,MONTH(1&amp;D2),E2)</f>
        <v>45743</v>
      </c>
      <c r="C2" s="3" t="s">
        <v>46</v>
      </c>
      <c r="D2" s="3" t="s">
        <v>55</v>
      </c>
      <c r="E2" s="3">
        <v>27</v>
      </c>
      <c r="F2" s="3" t="s">
        <v>10</v>
      </c>
      <c r="G2" s="3" t="s">
        <v>66</v>
      </c>
      <c r="H2" s="3" t="s">
        <v>11</v>
      </c>
      <c r="I2" s="3" t="s">
        <v>12</v>
      </c>
      <c r="J2" s="3">
        <v>1</v>
      </c>
      <c r="K2" s="3">
        <v>0</v>
      </c>
      <c r="L2" s="3" t="s">
        <v>13</v>
      </c>
      <c r="M2" s="5">
        <v>37585</v>
      </c>
      <c r="N2" s="3">
        <v>0.96</v>
      </c>
      <c r="O2" s="3">
        <v>1</v>
      </c>
      <c r="P2" s="11">
        <v>40300</v>
      </c>
      <c r="Q2" s="7">
        <f>M2/P2</f>
        <v>0.93263027295285361</v>
      </c>
      <c r="R2" s="13">
        <v>0.59</v>
      </c>
    </row>
    <row r="3" spans="1:20" x14ac:dyDescent="0.2">
      <c r="A3" s="1">
        <v>2</v>
      </c>
      <c r="B3" s="16">
        <f t="shared" ref="B3:B66" si="0">DATE(2025,MONTH(1&amp;D3),E3)</f>
        <v>45744</v>
      </c>
      <c r="C3" s="3" t="s">
        <v>47</v>
      </c>
      <c r="D3" s="3" t="s">
        <v>55</v>
      </c>
      <c r="E3" s="3">
        <v>28</v>
      </c>
      <c r="F3" s="3" t="s">
        <v>10</v>
      </c>
      <c r="G3" s="3" t="s">
        <v>66</v>
      </c>
      <c r="H3" s="3" t="s">
        <v>11</v>
      </c>
      <c r="I3" s="3" t="s">
        <v>14</v>
      </c>
      <c r="J3" s="3">
        <v>3</v>
      </c>
      <c r="K3" s="3">
        <v>0.5</v>
      </c>
      <c r="L3" s="3" t="s">
        <v>15</v>
      </c>
      <c r="M3" s="5">
        <v>26766</v>
      </c>
      <c r="N3" s="3">
        <v>1</v>
      </c>
      <c r="O3" s="3">
        <v>-1</v>
      </c>
      <c r="P3" s="11">
        <v>40300</v>
      </c>
      <c r="Q3" s="7">
        <f t="shared" ref="Q3:Q66" si="1">M3/P3</f>
        <v>0.66416873449131508</v>
      </c>
      <c r="R3" s="13">
        <v>0.57499999999999996</v>
      </c>
    </row>
    <row r="4" spans="1:20" x14ac:dyDescent="0.2">
      <c r="A4" s="1">
        <v>3</v>
      </c>
      <c r="B4" s="16">
        <f t="shared" si="0"/>
        <v>45745</v>
      </c>
      <c r="C4" s="3" t="s">
        <v>48</v>
      </c>
      <c r="D4" s="3" t="s">
        <v>55</v>
      </c>
      <c r="E4" s="3">
        <v>29</v>
      </c>
      <c r="F4" s="3" t="s">
        <v>10</v>
      </c>
      <c r="G4" s="3" t="s">
        <v>66</v>
      </c>
      <c r="H4" s="3" t="s">
        <v>11</v>
      </c>
      <c r="I4" s="3" t="s">
        <v>14</v>
      </c>
      <c r="J4" s="3">
        <v>4</v>
      </c>
      <c r="K4" s="3">
        <v>1.5</v>
      </c>
      <c r="L4" s="3" t="s">
        <v>15</v>
      </c>
      <c r="M4" s="5">
        <v>32251</v>
      </c>
      <c r="N4" s="3">
        <v>1</v>
      </c>
      <c r="O4" s="3">
        <v>-2</v>
      </c>
      <c r="P4" s="11">
        <v>40300</v>
      </c>
      <c r="Q4" s="7">
        <f t="shared" si="1"/>
        <v>0.80027295285359801</v>
      </c>
      <c r="R4" s="13">
        <v>0.54100000000000004</v>
      </c>
    </row>
    <row r="5" spans="1:20" x14ac:dyDescent="0.2">
      <c r="A5" s="1">
        <v>4</v>
      </c>
      <c r="B5" s="16">
        <f t="shared" si="0"/>
        <v>45746</v>
      </c>
      <c r="C5" s="3" t="s">
        <v>49</v>
      </c>
      <c r="D5" s="3" t="s">
        <v>55</v>
      </c>
      <c r="E5" s="3">
        <v>30</v>
      </c>
      <c r="F5" s="3" t="s">
        <v>10</v>
      </c>
      <c r="G5" s="3" t="s">
        <v>66</v>
      </c>
      <c r="H5" s="3" t="s">
        <v>11</v>
      </c>
      <c r="I5" s="3" t="s">
        <v>14</v>
      </c>
      <c r="J5" s="3">
        <v>5</v>
      </c>
      <c r="K5" s="3">
        <v>2.5</v>
      </c>
      <c r="L5" s="3" t="s">
        <v>13</v>
      </c>
      <c r="M5" s="5">
        <v>29137</v>
      </c>
      <c r="N5" s="3">
        <v>0.92</v>
      </c>
      <c r="O5" s="3">
        <v>-3</v>
      </c>
      <c r="P5" s="11">
        <v>40300</v>
      </c>
      <c r="Q5" s="7">
        <f t="shared" si="1"/>
        <v>0.72300248138957812</v>
      </c>
      <c r="R5" s="13">
        <v>0.49399999999999999</v>
      </c>
    </row>
    <row r="6" spans="1:20" x14ac:dyDescent="0.2">
      <c r="A6" s="1">
        <v>5</v>
      </c>
      <c r="B6" s="16">
        <f t="shared" si="0"/>
        <v>45747</v>
      </c>
      <c r="C6" s="3" t="s">
        <v>50</v>
      </c>
      <c r="D6" s="3" t="s">
        <v>55</v>
      </c>
      <c r="E6" s="3">
        <v>31</v>
      </c>
      <c r="F6" s="3" t="s">
        <v>10</v>
      </c>
      <c r="G6" s="3" t="s">
        <v>66</v>
      </c>
      <c r="H6" s="3" t="s">
        <v>16</v>
      </c>
      <c r="I6" s="3" t="s">
        <v>14</v>
      </c>
      <c r="J6" s="3">
        <v>5</v>
      </c>
      <c r="K6" s="3">
        <v>3</v>
      </c>
      <c r="L6" s="3" t="s">
        <v>13</v>
      </c>
      <c r="M6" s="5">
        <v>45002</v>
      </c>
      <c r="N6" s="3">
        <v>0.88</v>
      </c>
      <c r="O6" s="3">
        <v>-4</v>
      </c>
      <c r="P6" s="11">
        <v>48187</v>
      </c>
      <c r="Q6" s="7">
        <f t="shared" si="1"/>
        <v>0.93390333492435718</v>
      </c>
      <c r="R6" s="13">
        <v>0.44600000000000001</v>
      </c>
    </row>
    <row r="7" spans="1:20" x14ac:dyDescent="0.2">
      <c r="A7" s="1">
        <v>6</v>
      </c>
      <c r="B7" s="16">
        <f t="shared" si="0"/>
        <v>45749</v>
      </c>
      <c r="C7" s="3" t="s">
        <v>51</v>
      </c>
      <c r="D7" s="3" t="s">
        <v>56</v>
      </c>
      <c r="E7" s="3">
        <v>2</v>
      </c>
      <c r="F7" s="3" t="s">
        <v>10</v>
      </c>
      <c r="G7" s="3" t="s">
        <v>66</v>
      </c>
      <c r="H7" s="3" t="s">
        <v>16</v>
      </c>
      <c r="I7" s="3" t="s">
        <v>12</v>
      </c>
      <c r="J7" s="3">
        <v>5</v>
      </c>
      <c r="K7" s="3">
        <v>2.5</v>
      </c>
      <c r="L7" s="3" t="s">
        <v>15</v>
      </c>
      <c r="M7" s="5">
        <v>18146</v>
      </c>
      <c r="N7" s="3">
        <v>0.84</v>
      </c>
      <c r="O7" s="3">
        <v>1</v>
      </c>
      <c r="P7" s="11">
        <v>48187</v>
      </c>
      <c r="Q7" s="7">
        <f t="shared" si="1"/>
        <v>0.3765745948077282</v>
      </c>
      <c r="R7" s="13">
        <v>0.434</v>
      </c>
    </row>
    <row r="8" spans="1:20" x14ac:dyDescent="0.2">
      <c r="A8" s="1">
        <v>7</v>
      </c>
      <c r="B8" s="16">
        <f t="shared" si="0"/>
        <v>45750</v>
      </c>
      <c r="C8" s="3" t="s">
        <v>46</v>
      </c>
      <c r="D8" s="3" t="s">
        <v>56</v>
      </c>
      <c r="E8" s="3">
        <v>3</v>
      </c>
      <c r="F8" s="3" t="s">
        <v>10</v>
      </c>
      <c r="G8" s="3" t="s">
        <v>66</v>
      </c>
      <c r="H8" s="3" t="s">
        <v>16</v>
      </c>
      <c r="I8" s="3" t="s">
        <v>12</v>
      </c>
      <c r="J8" s="3">
        <v>4</v>
      </c>
      <c r="K8" s="3">
        <v>2</v>
      </c>
      <c r="L8" s="3" t="s">
        <v>13</v>
      </c>
      <c r="M8" s="5">
        <v>16656</v>
      </c>
      <c r="N8" s="3">
        <v>0.91</v>
      </c>
      <c r="O8" s="3">
        <v>2</v>
      </c>
      <c r="P8" s="11">
        <v>48187</v>
      </c>
      <c r="Q8" s="7">
        <f t="shared" si="1"/>
        <v>0.34565339199369122</v>
      </c>
      <c r="R8" s="13">
        <v>0.53400000000000003</v>
      </c>
    </row>
    <row r="9" spans="1:20" ht="17" x14ac:dyDescent="0.2">
      <c r="A9" s="1">
        <v>8</v>
      </c>
      <c r="B9" s="16">
        <f t="shared" si="0"/>
        <v>45751</v>
      </c>
      <c r="C9" s="3" t="s">
        <v>47</v>
      </c>
      <c r="D9" s="3" t="s">
        <v>56</v>
      </c>
      <c r="E9" s="3">
        <v>4</v>
      </c>
      <c r="F9" s="3" t="s">
        <v>10</v>
      </c>
      <c r="G9" s="2" t="s">
        <v>65</v>
      </c>
      <c r="H9" s="3" t="s">
        <v>17</v>
      </c>
      <c r="I9" s="3" t="s">
        <v>12</v>
      </c>
      <c r="J9" s="3">
        <v>4</v>
      </c>
      <c r="K9" s="3">
        <v>1.5</v>
      </c>
      <c r="L9" s="3" t="s">
        <v>13</v>
      </c>
      <c r="M9" s="5">
        <v>36462</v>
      </c>
      <c r="N9" s="3">
        <v>0.86</v>
      </c>
      <c r="O9" s="3">
        <v>3</v>
      </c>
      <c r="P9" s="9">
        <v>37305</v>
      </c>
      <c r="Q9" s="7">
        <f t="shared" si="1"/>
        <v>0.97740249296340975</v>
      </c>
      <c r="R9" s="13">
        <v>0.58699999999999997</v>
      </c>
      <c r="T9" s="4"/>
    </row>
    <row r="10" spans="1:20" ht="17" x14ac:dyDescent="0.2">
      <c r="A10" s="1">
        <v>9</v>
      </c>
      <c r="B10" s="16">
        <f t="shared" si="0"/>
        <v>45753</v>
      </c>
      <c r="C10" s="3" t="s">
        <v>49</v>
      </c>
      <c r="D10" s="3" t="s">
        <v>56</v>
      </c>
      <c r="E10" s="3">
        <v>6</v>
      </c>
      <c r="F10" s="3" t="s">
        <v>10</v>
      </c>
      <c r="G10" s="2" t="s">
        <v>65</v>
      </c>
      <c r="H10" s="3" t="s">
        <v>17</v>
      </c>
      <c r="I10" s="3" t="s">
        <v>12</v>
      </c>
      <c r="J10" s="3">
        <v>2</v>
      </c>
      <c r="K10" s="3">
        <v>0.5</v>
      </c>
      <c r="L10" s="3" t="s">
        <v>13</v>
      </c>
      <c r="M10" s="5">
        <v>31495</v>
      </c>
      <c r="N10" s="3">
        <v>0.91</v>
      </c>
      <c r="O10" s="3">
        <v>4</v>
      </c>
      <c r="P10" s="9">
        <v>37305</v>
      </c>
      <c r="Q10" s="7">
        <f t="shared" si="1"/>
        <v>0.84425680203726039</v>
      </c>
      <c r="R10" s="13">
        <v>0.58099999999999996</v>
      </c>
    </row>
    <row r="11" spans="1:20" ht="17" x14ac:dyDescent="0.2">
      <c r="A11" s="1">
        <v>10</v>
      </c>
      <c r="B11" s="16">
        <f t="shared" si="0"/>
        <v>45753</v>
      </c>
      <c r="C11" s="3" t="s">
        <v>49</v>
      </c>
      <c r="D11" s="3" t="s">
        <v>56</v>
      </c>
      <c r="E11" s="3">
        <v>6</v>
      </c>
      <c r="F11" s="3" t="s">
        <v>10</v>
      </c>
      <c r="G11" s="2" t="s">
        <v>65</v>
      </c>
      <c r="H11" s="3" t="s">
        <v>17</v>
      </c>
      <c r="I11" s="3" t="s">
        <v>12</v>
      </c>
      <c r="J11" s="3">
        <v>2</v>
      </c>
      <c r="K11" s="3">
        <v>0.5</v>
      </c>
      <c r="L11" s="3" t="s">
        <v>15</v>
      </c>
      <c r="M11" s="5">
        <v>28276</v>
      </c>
      <c r="N11" s="3">
        <v>0.95</v>
      </c>
      <c r="O11" s="3">
        <v>5</v>
      </c>
      <c r="P11" s="9">
        <v>37755</v>
      </c>
      <c r="Q11" s="7">
        <f t="shared" si="1"/>
        <v>0.74893391603761095</v>
      </c>
      <c r="R11" s="13">
        <v>0.65</v>
      </c>
    </row>
    <row r="12" spans="1:20" ht="17" x14ac:dyDescent="0.2">
      <c r="A12" s="1">
        <v>11</v>
      </c>
      <c r="B12" s="16">
        <f t="shared" si="0"/>
        <v>45754</v>
      </c>
      <c r="C12" s="3" t="s">
        <v>50</v>
      </c>
      <c r="D12" s="3" t="s">
        <v>56</v>
      </c>
      <c r="E12" s="3">
        <v>7</v>
      </c>
      <c r="F12" s="3" t="s">
        <v>10</v>
      </c>
      <c r="G12" s="2" t="s">
        <v>65</v>
      </c>
      <c r="H12" s="3" t="s">
        <v>18</v>
      </c>
      <c r="I12" s="3" t="s">
        <v>14</v>
      </c>
      <c r="J12" s="3">
        <v>2</v>
      </c>
      <c r="K12" s="3">
        <v>0.5</v>
      </c>
      <c r="L12" s="3" t="s">
        <v>15</v>
      </c>
      <c r="M12" s="5">
        <v>25788</v>
      </c>
      <c r="N12" s="3">
        <v>1.1100000000000001</v>
      </c>
      <c r="O12" s="3">
        <v>-1</v>
      </c>
      <c r="P12" s="9">
        <v>37755</v>
      </c>
      <c r="Q12" s="7">
        <f t="shared" si="1"/>
        <v>0.68303535955502581</v>
      </c>
      <c r="R12" s="13">
        <v>0.60899999999999999</v>
      </c>
    </row>
    <row r="13" spans="1:20" ht="17" x14ac:dyDescent="0.2">
      <c r="A13" s="1">
        <v>12</v>
      </c>
      <c r="B13" s="16">
        <f t="shared" si="0"/>
        <v>45755</v>
      </c>
      <c r="C13" s="3" t="s">
        <v>52</v>
      </c>
      <c r="D13" s="3" t="s">
        <v>56</v>
      </c>
      <c r="E13" s="3">
        <v>8</v>
      </c>
      <c r="F13" s="3" t="s">
        <v>10</v>
      </c>
      <c r="G13" s="2" t="s">
        <v>65</v>
      </c>
      <c r="H13" s="3" t="s">
        <v>18</v>
      </c>
      <c r="I13" s="3" t="s">
        <v>14</v>
      </c>
      <c r="J13" s="3">
        <v>3</v>
      </c>
      <c r="K13" s="3">
        <v>1</v>
      </c>
      <c r="L13" s="3" t="s">
        <v>15</v>
      </c>
      <c r="M13" s="5">
        <v>25575</v>
      </c>
      <c r="N13" s="3">
        <v>1.05</v>
      </c>
      <c r="O13" s="3">
        <v>-2</v>
      </c>
      <c r="P13" s="9">
        <v>37755</v>
      </c>
      <c r="Q13" s="7">
        <f t="shared" si="1"/>
        <v>0.67739372268573694</v>
      </c>
      <c r="R13" s="13">
        <v>0.56799999999999995</v>
      </c>
    </row>
    <row r="14" spans="1:20" ht="17" x14ac:dyDescent="0.2">
      <c r="A14" s="1">
        <v>13</v>
      </c>
      <c r="B14" s="16">
        <f t="shared" si="0"/>
        <v>45756</v>
      </c>
      <c r="C14" s="3" t="s">
        <v>51</v>
      </c>
      <c r="D14" s="3" t="s">
        <v>56</v>
      </c>
      <c r="E14" s="3">
        <v>9</v>
      </c>
      <c r="F14" s="3" t="s">
        <v>10</v>
      </c>
      <c r="G14" s="2" t="s">
        <v>65</v>
      </c>
      <c r="H14" s="3" t="s">
        <v>18</v>
      </c>
      <c r="I14" s="3" t="s">
        <v>14</v>
      </c>
      <c r="J14" s="3">
        <v>3</v>
      </c>
      <c r="K14" s="3">
        <v>2</v>
      </c>
      <c r="L14" s="3" t="s">
        <v>15</v>
      </c>
      <c r="M14" s="5">
        <v>29441</v>
      </c>
      <c r="N14" s="3">
        <v>1.07</v>
      </c>
      <c r="O14" s="3">
        <v>-3</v>
      </c>
      <c r="P14" s="9">
        <v>37755</v>
      </c>
      <c r="Q14" s="7">
        <f t="shared" si="1"/>
        <v>0.77979075619123295</v>
      </c>
      <c r="R14" s="13">
        <v>0.51200000000000001</v>
      </c>
    </row>
    <row r="15" spans="1:20" ht="17" x14ac:dyDescent="0.2">
      <c r="A15" s="1">
        <v>14</v>
      </c>
      <c r="B15" s="16">
        <f t="shared" si="0"/>
        <v>45757</v>
      </c>
      <c r="C15" s="3" t="s">
        <v>46</v>
      </c>
      <c r="D15" s="3" t="s">
        <v>56</v>
      </c>
      <c r="E15" s="3">
        <v>10</v>
      </c>
      <c r="F15" s="3" t="s">
        <v>10</v>
      </c>
      <c r="G15" s="2" t="s">
        <v>65</v>
      </c>
      <c r="H15" s="3" t="s">
        <v>18</v>
      </c>
      <c r="I15" s="3" t="s">
        <v>12</v>
      </c>
      <c r="J15" s="3">
        <v>3</v>
      </c>
      <c r="K15" s="3">
        <v>1</v>
      </c>
      <c r="L15" s="3" t="s">
        <v>13</v>
      </c>
      <c r="M15" s="5">
        <v>25128</v>
      </c>
      <c r="N15" s="3">
        <v>1.01</v>
      </c>
      <c r="O15" s="3">
        <v>1</v>
      </c>
      <c r="P15" s="9">
        <v>37305</v>
      </c>
      <c r="Q15" s="7">
        <f t="shared" si="1"/>
        <v>0.67358262967430638</v>
      </c>
      <c r="R15" s="13">
        <v>0.56499999999999995</v>
      </c>
    </row>
    <row r="16" spans="1:20" x14ac:dyDescent="0.2">
      <c r="A16" s="1">
        <v>15</v>
      </c>
      <c r="B16" s="16">
        <f t="shared" si="0"/>
        <v>45758</v>
      </c>
      <c r="C16" s="3" t="s">
        <v>47</v>
      </c>
      <c r="D16" s="3" t="s">
        <v>56</v>
      </c>
      <c r="E16" s="3">
        <v>11</v>
      </c>
      <c r="F16" s="3" t="s">
        <v>10</v>
      </c>
      <c r="G16" s="3" t="s">
        <v>66</v>
      </c>
      <c r="H16" s="3" t="s">
        <v>19</v>
      </c>
      <c r="I16" s="3" t="s">
        <v>14</v>
      </c>
      <c r="J16" s="3">
        <v>3</v>
      </c>
      <c r="K16" s="3">
        <v>1.5</v>
      </c>
      <c r="L16" s="3" t="s">
        <v>15</v>
      </c>
      <c r="M16" s="5">
        <v>13432</v>
      </c>
      <c r="N16" s="3">
        <v>0.98</v>
      </c>
      <c r="O16" s="3">
        <v>-1</v>
      </c>
      <c r="P16" s="11">
        <v>40615</v>
      </c>
      <c r="Q16" s="7">
        <f t="shared" si="1"/>
        <v>0.33071525298535026</v>
      </c>
      <c r="R16" s="13">
        <v>0.53</v>
      </c>
    </row>
    <row r="17" spans="1:18" x14ac:dyDescent="0.2">
      <c r="A17" s="1">
        <v>16</v>
      </c>
      <c r="B17" s="16">
        <f t="shared" si="0"/>
        <v>45759</v>
      </c>
      <c r="C17" s="3" t="s">
        <v>48</v>
      </c>
      <c r="D17" s="3" t="s">
        <v>56</v>
      </c>
      <c r="E17" s="3">
        <v>12</v>
      </c>
      <c r="F17" s="3" t="s">
        <v>10</v>
      </c>
      <c r="G17" s="3" t="s">
        <v>66</v>
      </c>
      <c r="H17" s="3" t="s">
        <v>19</v>
      </c>
      <c r="I17" s="3" t="s">
        <v>14</v>
      </c>
      <c r="J17" s="3">
        <v>3</v>
      </c>
      <c r="K17" s="3">
        <v>2</v>
      </c>
      <c r="L17" s="3" t="s">
        <v>13</v>
      </c>
      <c r="M17" s="5">
        <v>30423</v>
      </c>
      <c r="N17" s="3">
        <v>0.95</v>
      </c>
      <c r="O17" s="3">
        <v>-2</v>
      </c>
      <c r="P17" s="11">
        <v>40615</v>
      </c>
      <c r="Q17" s="7">
        <f t="shared" si="1"/>
        <v>0.74905822971808445</v>
      </c>
      <c r="R17" s="13">
        <v>0.496</v>
      </c>
    </row>
    <row r="18" spans="1:18" x14ac:dyDescent="0.2">
      <c r="A18" s="1">
        <v>17</v>
      </c>
      <c r="B18" s="16">
        <f t="shared" si="0"/>
        <v>45760</v>
      </c>
      <c r="C18" s="3" t="s">
        <v>49</v>
      </c>
      <c r="D18" s="3" t="s">
        <v>56</v>
      </c>
      <c r="E18" s="3">
        <v>13</v>
      </c>
      <c r="F18" s="3" t="s">
        <v>10</v>
      </c>
      <c r="G18" s="3" t="s">
        <v>66</v>
      </c>
      <c r="H18" s="3" t="s">
        <v>19</v>
      </c>
      <c r="I18" s="3" t="s">
        <v>12</v>
      </c>
      <c r="J18" s="3">
        <v>3</v>
      </c>
      <c r="K18" s="3">
        <v>1.5</v>
      </c>
      <c r="L18" s="3" t="s">
        <v>13</v>
      </c>
      <c r="M18" s="5">
        <v>18840</v>
      </c>
      <c r="N18" s="3">
        <v>0.88</v>
      </c>
      <c r="O18" s="3">
        <v>1</v>
      </c>
      <c r="P18" s="11">
        <v>40615</v>
      </c>
      <c r="Q18" s="7">
        <f t="shared" si="1"/>
        <v>0.46386802905330543</v>
      </c>
      <c r="R18" s="13">
        <v>0.53</v>
      </c>
    </row>
    <row r="19" spans="1:18" x14ac:dyDescent="0.2">
      <c r="A19" s="1">
        <v>18</v>
      </c>
      <c r="B19" s="16">
        <f t="shared" si="0"/>
        <v>45761</v>
      </c>
      <c r="C19" s="3" t="s">
        <v>50</v>
      </c>
      <c r="D19" s="3" t="s">
        <v>56</v>
      </c>
      <c r="E19" s="3">
        <v>14</v>
      </c>
      <c r="F19" s="3" t="s">
        <v>10</v>
      </c>
      <c r="G19" s="3" t="s">
        <v>66</v>
      </c>
      <c r="H19" s="3" t="s">
        <v>20</v>
      </c>
      <c r="I19" s="3" t="s">
        <v>14</v>
      </c>
      <c r="J19" s="3">
        <v>4</v>
      </c>
      <c r="K19" s="3">
        <v>2</v>
      </c>
      <c r="L19" s="3" t="s">
        <v>15</v>
      </c>
      <c r="M19" s="5">
        <v>10046</v>
      </c>
      <c r="N19" s="3">
        <v>1.04</v>
      </c>
      <c r="O19" s="3">
        <v>-1</v>
      </c>
      <c r="P19" s="9">
        <v>10046</v>
      </c>
      <c r="Q19" s="7">
        <f t="shared" si="1"/>
        <v>1</v>
      </c>
      <c r="R19" s="13">
        <v>0.47</v>
      </c>
    </row>
    <row r="20" spans="1:18" x14ac:dyDescent="0.2">
      <c r="A20" s="1">
        <v>19</v>
      </c>
      <c r="B20" s="16">
        <f t="shared" si="0"/>
        <v>45762</v>
      </c>
      <c r="C20" s="3" t="s">
        <v>52</v>
      </c>
      <c r="D20" s="3" t="s">
        <v>56</v>
      </c>
      <c r="E20" s="3">
        <v>15</v>
      </c>
      <c r="F20" s="3" t="s">
        <v>10</v>
      </c>
      <c r="G20" s="3" t="s">
        <v>66</v>
      </c>
      <c r="H20" s="3" t="s">
        <v>20</v>
      </c>
      <c r="I20" s="3" t="s">
        <v>12</v>
      </c>
      <c r="J20" s="3">
        <v>3</v>
      </c>
      <c r="K20" s="3">
        <v>2</v>
      </c>
      <c r="L20" s="3" t="s">
        <v>15</v>
      </c>
      <c r="M20" s="5">
        <v>10046</v>
      </c>
      <c r="N20" s="3">
        <v>1</v>
      </c>
      <c r="O20" s="3">
        <v>1</v>
      </c>
      <c r="P20" s="9">
        <v>10046</v>
      </c>
      <c r="Q20" s="7">
        <f t="shared" si="1"/>
        <v>1</v>
      </c>
      <c r="R20" s="13">
        <v>0.50700000000000001</v>
      </c>
    </row>
    <row r="21" spans="1:18" x14ac:dyDescent="0.2">
      <c r="A21" s="1">
        <v>20</v>
      </c>
      <c r="B21" s="16">
        <f t="shared" si="0"/>
        <v>45763</v>
      </c>
      <c r="C21" s="3" t="s">
        <v>51</v>
      </c>
      <c r="D21" s="3" t="s">
        <v>56</v>
      </c>
      <c r="E21" s="3">
        <v>16</v>
      </c>
      <c r="F21" s="3" t="s">
        <v>10</v>
      </c>
      <c r="G21" s="3" t="s">
        <v>66</v>
      </c>
      <c r="H21" s="3" t="s">
        <v>20</v>
      </c>
      <c r="I21" s="3" t="s">
        <v>12</v>
      </c>
      <c r="J21" s="3">
        <v>3</v>
      </c>
      <c r="K21" s="3">
        <v>2</v>
      </c>
      <c r="L21" s="3" t="s">
        <v>15</v>
      </c>
      <c r="M21" s="5">
        <v>10046</v>
      </c>
      <c r="N21" s="3">
        <v>1.02</v>
      </c>
      <c r="O21" s="3">
        <v>2</v>
      </c>
      <c r="P21" s="9">
        <v>10046</v>
      </c>
      <c r="Q21" s="7">
        <f t="shared" si="1"/>
        <v>1</v>
      </c>
      <c r="R21" s="13">
        <v>0.53800000000000003</v>
      </c>
    </row>
    <row r="22" spans="1:18" ht="17" x14ac:dyDescent="0.2">
      <c r="A22" s="1">
        <v>21</v>
      </c>
      <c r="B22" s="16">
        <f t="shared" si="0"/>
        <v>45765</v>
      </c>
      <c r="C22" s="3" t="s">
        <v>47</v>
      </c>
      <c r="D22" s="3" t="s">
        <v>56</v>
      </c>
      <c r="E22" s="3">
        <v>18</v>
      </c>
      <c r="F22" s="3" t="s">
        <v>10</v>
      </c>
      <c r="G22" s="2" t="s">
        <v>65</v>
      </c>
      <c r="H22" s="3" t="s">
        <v>19</v>
      </c>
      <c r="I22" s="3" t="s">
        <v>12</v>
      </c>
      <c r="J22" s="3">
        <v>3</v>
      </c>
      <c r="K22" s="3">
        <v>2.5</v>
      </c>
      <c r="L22" s="3" t="s">
        <v>15</v>
      </c>
      <c r="M22" s="5">
        <v>35620</v>
      </c>
      <c r="N22" s="3">
        <v>0.99</v>
      </c>
      <c r="O22" s="3">
        <v>3</v>
      </c>
      <c r="P22" s="9">
        <v>37755</v>
      </c>
      <c r="Q22" s="7">
        <f t="shared" si="1"/>
        <v>0.94345119851675274</v>
      </c>
      <c r="R22" s="13">
        <v>0.53500000000000003</v>
      </c>
    </row>
    <row r="23" spans="1:18" ht="17" x14ac:dyDescent="0.2">
      <c r="A23" s="1">
        <v>22</v>
      </c>
      <c r="B23" s="16">
        <f t="shared" si="0"/>
        <v>45766</v>
      </c>
      <c r="C23" s="3" t="s">
        <v>48</v>
      </c>
      <c r="D23" s="3" t="s">
        <v>56</v>
      </c>
      <c r="E23" s="3">
        <v>19</v>
      </c>
      <c r="F23" s="3" t="s">
        <v>10</v>
      </c>
      <c r="G23" s="2" t="s">
        <v>65</v>
      </c>
      <c r="H23" s="3" t="s">
        <v>19</v>
      </c>
      <c r="I23" s="3" t="s">
        <v>12</v>
      </c>
      <c r="J23" s="3">
        <v>3</v>
      </c>
      <c r="K23" s="3">
        <v>1.5</v>
      </c>
      <c r="L23" s="3" t="s">
        <v>13</v>
      </c>
      <c r="M23" s="5">
        <v>36559</v>
      </c>
      <c r="N23" s="3">
        <v>1.02</v>
      </c>
      <c r="O23" s="3">
        <v>4</v>
      </c>
      <c r="P23" s="9">
        <v>37305</v>
      </c>
      <c r="Q23" s="7">
        <f t="shared" si="1"/>
        <v>0.98000268060581697</v>
      </c>
      <c r="R23" s="13">
        <v>0.59799999999999998</v>
      </c>
    </row>
    <row r="24" spans="1:18" ht="17" x14ac:dyDescent="0.2">
      <c r="A24" s="1">
        <v>23</v>
      </c>
      <c r="B24" s="16">
        <f t="shared" si="0"/>
        <v>45767</v>
      </c>
      <c r="C24" s="3" t="s">
        <v>49</v>
      </c>
      <c r="D24" s="3" t="s">
        <v>56</v>
      </c>
      <c r="E24" s="3">
        <v>20</v>
      </c>
      <c r="F24" s="3" t="s">
        <v>10</v>
      </c>
      <c r="G24" s="2" t="s">
        <v>65</v>
      </c>
      <c r="H24" s="3" t="s">
        <v>19</v>
      </c>
      <c r="I24" s="3" t="s">
        <v>14</v>
      </c>
      <c r="J24" s="3">
        <v>3</v>
      </c>
      <c r="K24" s="3">
        <v>2.5</v>
      </c>
      <c r="L24" s="3" t="s">
        <v>13</v>
      </c>
      <c r="M24" s="5">
        <v>32632</v>
      </c>
      <c r="N24" s="3">
        <v>1.06</v>
      </c>
      <c r="O24" s="3">
        <v>-1</v>
      </c>
      <c r="P24" s="9">
        <v>37305</v>
      </c>
      <c r="Q24" s="7">
        <f t="shared" si="1"/>
        <v>0.87473529017557972</v>
      </c>
      <c r="R24" s="13">
        <v>0.57499999999999996</v>
      </c>
    </row>
    <row r="25" spans="1:18" ht="17" x14ac:dyDescent="0.2">
      <c r="A25" s="1">
        <v>24</v>
      </c>
      <c r="B25" s="16">
        <f t="shared" si="0"/>
        <v>45768</v>
      </c>
      <c r="C25" s="3" t="s">
        <v>50</v>
      </c>
      <c r="D25" s="3" t="s">
        <v>56</v>
      </c>
      <c r="E25" s="3">
        <v>21</v>
      </c>
      <c r="F25" s="3" t="s">
        <v>10</v>
      </c>
      <c r="G25" s="2" t="s">
        <v>65</v>
      </c>
      <c r="H25" s="3" t="s">
        <v>19</v>
      </c>
      <c r="I25" s="3" t="s">
        <v>12</v>
      </c>
      <c r="J25" s="3">
        <v>2</v>
      </c>
      <c r="K25" s="3">
        <v>1.5</v>
      </c>
      <c r="L25" s="3" t="s">
        <v>13</v>
      </c>
      <c r="M25" s="5">
        <v>34721</v>
      </c>
      <c r="N25" s="3">
        <v>1.06</v>
      </c>
      <c r="O25" s="3">
        <v>1</v>
      </c>
      <c r="P25" s="9">
        <v>37305</v>
      </c>
      <c r="Q25" s="7">
        <f t="shared" si="1"/>
        <v>0.93073314569092613</v>
      </c>
      <c r="R25" s="13">
        <v>0.58799999999999997</v>
      </c>
    </row>
    <row r="26" spans="1:18" ht="17" x14ac:dyDescent="0.2">
      <c r="A26" s="1">
        <v>25</v>
      </c>
      <c r="B26" s="16">
        <f t="shared" si="0"/>
        <v>45769</v>
      </c>
      <c r="C26" s="3" t="s">
        <v>52</v>
      </c>
      <c r="D26" s="3" t="s">
        <v>56</v>
      </c>
      <c r="E26" s="3">
        <v>22</v>
      </c>
      <c r="F26" s="3" t="s">
        <v>10</v>
      </c>
      <c r="G26" s="2" t="s">
        <v>65</v>
      </c>
      <c r="H26" s="3" t="s">
        <v>21</v>
      </c>
      <c r="I26" s="3" t="s">
        <v>12</v>
      </c>
      <c r="J26" s="3">
        <v>2</v>
      </c>
      <c r="K26" s="3">
        <v>0.5</v>
      </c>
      <c r="L26" s="3" t="s">
        <v>15</v>
      </c>
      <c r="M26" s="5">
        <v>33027</v>
      </c>
      <c r="N26" s="3">
        <v>1.1000000000000001</v>
      </c>
      <c r="O26" s="3">
        <v>2</v>
      </c>
      <c r="P26" s="9">
        <v>37755</v>
      </c>
      <c r="Q26" s="7">
        <f t="shared" si="1"/>
        <v>0.87477155343663093</v>
      </c>
      <c r="R26" s="13">
        <v>0.628</v>
      </c>
    </row>
    <row r="27" spans="1:18" ht="17" x14ac:dyDescent="0.2">
      <c r="A27" s="1">
        <v>26</v>
      </c>
      <c r="B27" s="16">
        <f t="shared" si="0"/>
        <v>45770</v>
      </c>
      <c r="C27" s="3" t="s">
        <v>51</v>
      </c>
      <c r="D27" s="3" t="s">
        <v>56</v>
      </c>
      <c r="E27" s="3">
        <v>23</v>
      </c>
      <c r="F27" s="3" t="s">
        <v>10</v>
      </c>
      <c r="G27" s="2" t="s">
        <v>65</v>
      </c>
      <c r="H27" s="3" t="s">
        <v>21</v>
      </c>
      <c r="I27" s="3" t="s">
        <v>14</v>
      </c>
      <c r="J27" s="3">
        <v>2</v>
      </c>
      <c r="K27" s="3">
        <v>1.5</v>
      </c>
      <c r="L27" s="3" t="s">
        <v>15</v>
      </c>
      <c r="M27" s="5">
        <v>31904</v>
      </c>
      <c r="N27" s="3">
        <v>1.1499999999999999</v>
      </c>
      <c r="O27" s="3">
        <v>-1</v>
      </c>
      <c r="P27" s="9">
        <v>37755</v>
      </c>
      <c r="Q27" s="7">
        <f t="shared" si="1"/>
        <v>0.84502714872202356</v>
      </c>
      <c r="R27" s="13">
        <v>0.59</v>
      </c>
    </row>
    <row r="28" spans="1:18" ht="17" x14ac:dyDescent="0.2">
      <c r="A28" s="1">
        <v>27</v>
      </c>
      <c r="B28" s="16">
        <f t="shared" si="0"/>
        <v>45771</v>
      </c>
      <c r="C28" s="3" t="s">
        <v>46</v>
      </c>
      <c r="D28" s="3" t="s">
        <v>56</v>
      </c>
      <c r="E28" s="3">
        <v>24</v>
      </c>
      <c r="F28" s="3" t="s">
        <v>10</v>
      </c>
      <c r="G28" s="2" t="s">
        <v>65</v>
      </c>
      <c r="H28" s="3" t="s">
        <v>21</v>
      </c>
      <c r="I28" s="3" t="s">
        <v>14</v>
      </c>
      <c r="J28" s="3">
        <v>2</v>
      </c>
      <c r="K28" s="3">
        <v>2</v>
      </c>
      <c r="L28" s="3" t="s">
        <v>13</v>
      </c>
      <c r="M28" s="5">
        <v>35655</v>
      </c>
      <c r="N28" s="3">
        <v>1.1100000000000001</v>
      </c>
      <c r="O28" s="3">
        <v>-2</v>
      </c>
      <c r="P28" s="9">
        <v>37305</v>
      </c>
      <c r="Q28" s="7">
        <f t="shared" si="1"/>
        <v>0.95577000402090873</v>
      </c>
      <c r="R28" s="13">
        <v>0.55800000000000005</v>
      </c>
    </row>
    <row r="29" spans="1:18" x14ac:dyDescent="0.2">
      <c r="A29" s="1">
        <v>28</v>
      </c>
      <c r="B29" s="16">
        <f t="shared" si="0"/>
        <v>45773</v>
      </c>
      <c r="C29" s="3" t="s">
        <v>48</v>
      </c>
      <c r="D29" s="3" t="s">
        <v>56</v>
      </c>
      <c r="E29" s="3">
        <v>26</v>
      </c>
      <c r="F29" s="3" t="s">
        <v>10</v>
      </c>
      <c r="G29" s="3" t="s">
        <v>66</v>
      </c>
      <c r="H29" s="3" t="s">
        <v>22</v>
      </c>
      <c r="I29" s="3" t="s">
        <v>14</v>
      </c>
      <c r="J29" s="3">
        <v>2</v>
      </c>
      <c r="K29" s="3">
        <v>1.5</v>
      </c>
      <c r="L29" s="3" t="s">
        <v>13</v>
      </c>
      <c r="M29" s="5">
        <v>17367</v>
      </c>
      <c r="N29" s="3">
        <v>1.1000000000000001</v>
      </c>
      <c r="O29" s="3">
        <v>-3</v>
      </c>
      <c r="P29" s="11">
        <v>34820</v>
      </c>
      <c r="Q29" s="7">
        <f t="shared" si="1"/>
        <v>0.49876507754164273</v>
      </c>
      <c r="R29" s="13">
        <v>0.55400000000000005</v>
      </c>
    </row>
    <row r="30" spans="1:18" x14ac:dyDescent="0.2">
      <c r="A30" s="1">
        <v>29</v>
      </c>
      <c r="B30" s="16">
        <f t="shared" si="0"/>
        <v>45773</v>
      </c>
      <c r="C30" s="3" t="s">
        <v>48</v>
      </c>
      <c r="D30" s="3" t="s">
        <v>56</v>
      </c>
      <c r="E30" s="3">
        <v>26</v>
      </c>
      <c r="F30" s="3" t="s">
        <v>10</v>
      </c>
      <c r="G30" s="3" t="s">
        <v>66</v>
      </c>
      <c r="H30" s="3" t="s">
        <v>22</v>
      </c>
      <c r="I30" s="3" t="s">
        <v>12</v>
      </c>
      <c r="J30" s="3">
        <v>2</v>
      </c>
      <c r="K30" s="3">
        <v>1.5</v>
      </c>
      <c r="L30" s="3" t="s">
        <v>15</v>
      </c>
      <c r="M30" s="5">
        <v>24316</v>
      </c>
      <c r="N30" s="3">
        <v>1.06</v>
      </c>
      <c r="O30" s="3">
        <v>1</v>
      </c>
      <c r="P30" s="11">
        <v>34820</v>
      </c>
      <c r="Q30" s="7">
        <f t="shared" si="1"/>
        <v>0.69833429063756458</v>
      </c>
      <c r="R30" s="13">
        <v>0.56200000000000006</v>
      </c>
    </row>
    <row r="31" spans="1:18" x14ac:dyDescent="0.2">
      <c r="A31" s="1">
        <v>30</v>
      </c>
      <c r="B31" s="16">
        <f t="shared" si="0"/>
        <v>45774</v>
      </c>
      <c r="C31" s="3" t="s">
        <v>49</v>
      </c>
      <c r="D31" s="3" t="s">
        <v>56</v>
      </c>
      <c r="E31" s="3">
        <v>27</v>
      </c>
      <c r="F31" s="3" t="s">
        <v>10</v>
      </c>
      <c r="G31" s="3" t="s">
        <v>66</v>
      </c>
      <c r="H31" s="3" t="s">
        <v>22</v>
      </c>
      <c r="I31" s="3" t="s">
        <v>12</v>
      </c>
      <c r="J31" s="3">
        <v>2</v>
      </c>
      <c r="K31" s="3">
        <v>2</v>
      </c>
      <c r="L31" s="3" t="s">
        <v>13</v>
      </c>
      <c r="M31" s="5">
        <v>24621</v>
      </c>
      <c r="N31" s="3">
        <v>1.08</v>
      </c>
      <c r="O31" s="3">
        <v>2</v>
      </c>
      <c r="P31" s="11">
        <v>34820</v>
      </c>
      <c r="Q31" s="7">
        <f t="shared" si="1"/>
        <v>0.70709362435381962</v>
      </c>
      <c r="R31" s="13">
        <v>0.59699999999999998</v>
      </c>
    </row>
    <row r="32" spans="1:18" x14ac:dyDescent="0.2">
      <c r="A32" s="1">
        <v>31</v>
      </c>
      <c r="B32" s="16">
        <f t="shared" si="0"/>
        <v>45776</v>
      </c>
      <c r="C32" s="3" t="s">
        <v>52</v>
      </c>
      <c r="D32" s="3" t="s">
        <v>56</v>
      </c>
      <c r="E32" s="3">
        <v>29</v>
      </c>
      <c r="F32" s="3" t="s">
        <v>10</v>
      </c>
      <c r="G32" s="3" t="s">
        <v>66</v>
      </c>
      <c r="H32" s="3" t="s">
        <v>18</v>
      </c>
      <c r="I32" s="3" t="s">
        <v>12</v>
      </c>
      <c r="J32" s="3">
        <v>2</v>
      </c>
      <c r="K32" s="3">
        <v>1.5</v>
      </c>
      <c r="L32" s="3" t="s">
        <v>15</v>
      </c>
      <c r="M32" s="5">
        <v>28045</v>
      </c>
      <c r="N32" s="3">
        <v>1.2</v>
      </c>
      <c r="O32" s="3">
        <v>3</v>
      </c>
      <c r="P32" s="9">
        <v>42500</v>
      </c>
      <c r="Q32" s="7">
        <f t="shared" si="1"/>
        <v>0.65988235294117648</v>
      </c>
      <c r="R32" s="13">
        <v>0.59499999999999997</v>
      </c>
    </row>
    <row r="33" spans="1:18" x14ac:dyDescent="0.2">
      <c r="A33" s="1">
        <v>32</v>
      </c>
      <c r="B33" s="16">
        <f t="shared" si="0"/>
        <v>45777</v>
      </c>
      <c r="C33" s="3" t="s">
        <v>51</v>
      </c>
      <c r="D33" s="3" t="s">
        <v>56</v>
      </c>
      <c r="E33" s="3">
        <v>30</v>
      </c>
      <c r="F33" s="3" t="s">
        <v>10</v>
      </c>
      <c r="G33" s="3" t="s">
        <v>66</v>
      </c>
      <c r="H33" s="3" t="s">
        <v>18</v>
      </c>
      <c r="I33" s="3" t="s">
        <v>14</v>
      </c>
      <c r="J33" s="3">
        <v>2</v>
      </c>
      <c r="K33" s="3">
        <v>1.5</v>
      </c>
      <c r="L33" s="3" t="s">
        <v>15</v>
      </c>
      <c r="M33" s="5">
        <v>26498</v>
      </c>
      <c r="N33" s="3">
        <v>1.22</v>
      </c>
      <c r="O33" s="3">
        <v>-1</v>
      </c>
      <c r="P33" s="9">
        <v>42500</v>
      </c>
      <c r="Q33" s="7">
        <f t="shared" si="1"/>
        <v>0.62348235294117649</v>
      </c>
      <c r="R33" s="13">
        <v>0.59</v>
      </c>
    </row>
    <row r="34" spans="1:18" x14ac:dyDescent="0.2">
      <c r="A34" s="1">
        <v>33</v>
      </c>
      <c r="B34" s="16">
        <f t="shared" si="0"/>
        <v>45778</v>
      </c>
      <c r="C34" s="3" t="s">
        <v>46</v>
      </c>
      <c r="D34" s="3" t="s">
        <v>57</v>
      </c>
      <c r="E34" s="3">
        <v>1</v>
      </c>
      <c r="F34" s="3" t="s">
        <v>10</v>
      </c>
      <c r="G34" s="3" t="s">
        <v>66</v>
      </c>
      <c r="H34" s="3" t="s">
        <v>18</v>
      </c>
      <c r="I34" s="3" t="s">
        <v>14</v>
      </c>
      <c r="J34" s="3">
        <v>2</v>
      </c>
      <c r="K34" s="3">
        <v>2</v>
      </c>
      <c r="L34" s="3" t="s">
        <v>15</v>
      </c>
      <c r="M34" s="5">
        <v>24198</v>
      </c>
      <c r="N34" s="3">
        <v>1.2</v>
      </c>
      <c r="O34" s="3">
        <v>-2</v>
      </c>
      <c r="P34" s="9">
        <v>42500</v>
      </c>
      <c r="Q34" s="7">
        <f t="shared" si="1"/>
        <v>0.56936470588235299</v>
      </c>
      <c r="R34" s="13">
        <v>0.54800000000000004</v>
      </c>
    </row>
    <row r="35" spans="1:18" ht="17" x14ac:dyDescent="0.2">
      <c r="A35" s="1">
        <v>34</v>
      </c>
      <c r="B35" s="16">
        <f t="shared" si="0"/>
        <v>45779</v>
      </c>
      <c r="C35" s="3" t="s">
        <v>47</v>
      </c>
      <c r="D35" s="3" t="s">
        <v>57</v>
      </c>
      <c r="E35" s="3">
        <v>2</v>
      </c>
      <c r="F35" s="3" t="s">
        <v>10</v>
      </c>
      <c r="G35" s="2" t="s">
        <v>65</v>
      </c>
      <c r="H35" s="3" t="s">
        <v>23</v>
      </c>
      <c r="I35" s="3" t="s">
        <v>12</v>
      </c>
      <c r="J35" s="3">
        <v>2</v>
      </c>
      <c r="K35" s="3">
        <v>2</v>
      </c>
      <c r="L35" s="3" t="s">
        <v>15</v>
      </c>
      <c r="M35" s="5">
        <v>35914</v>
      </c>
      <c r="N35" s="3">
        <v>1.08</v>
      </c>
      <c r="O35" s="3">
        <v>1</v>
      </c>
      <c r="P35" s="9">
        <v>37755</v>
      </c>
      <c r="Q35" s="7">
        <f t="shared" si="1"/>
        <v>0.95123824658985567</v>
      </c>
      <c r="R35" s="13">
        <v>0.58799999999999997</v>
      </c>
    </row>
    <row r="36" spans="1:18" ht="17" x14ac:dyDescent="0.2">
      <c r="A36" s="1">
        <v>35</v>
      </c>
      <c r="B36" s="16">
        <f t="shared" si="0"/>
        <v>45780</v>
      </c>
      <c r="C36" s="3" t="s">
        <v>48</v>
      </c>
      <c r="D36" s="3" t="s">
        <v>57</v>
      </c>
      <c r="E36" s="3">
        <v>3</v>
      </c>
      <c r="F36" s="3" t="s">
        <v>10</v>
      </c>
      <c r="G36" s="2" t="s">
        <v>65</v>
      </c>
      <c r="H36" s="3" t="s">
        <v>23</v>
      </c>
      <c r="I36" s="3" t="s">
        <v>14</v>
      </c>
      <c r="J36" s="3">
        <v>2</v>
      </c>
      <c r="K36" s="3">
        <v>2</v>
      </c>
      <c r="L36" s="3" t="s">
        <v>13</v>
      </c>
      <c r="M36" s="5">
        <v>36250</v>
      </c>
      <c r="N36" s="3">
        <v>1.08</v>
      </c>
      <c r="O36" s="3">
        <v>-1</v>
      </c>
      <c r="P36" s="9">
        <v>37305</v>
      </c>
      <c r="Q36" s="7">
        <f t="shared" si="1"/>
        <v>0.97171960863155071</v>
      </c>
      <c r="R36" s="13">
        <v>0.54100000000000004</v>
      </c>
    </row>
    <row r="37" spans="1:18" ht="17" x14ac:dyDescent="0.2">
      <c r="A37" s="1">
        <v>36</v>
      </c>
      <c r="B37" s="16">
        <f t="shared" si="0"/>
        <v>45781</v>
      </c>
      <c r="C37" s="3" t="s">
        <v>49</v>
      </c>
      <c r="D37" s="3" t="s">
        <v>57</v>
      </c>
      <c r="E37" s="3">
        <v>4</v>
      </c>
      <c r="F37" s="3" t="s">
        <v>10</v>
      </c>
      <c r="G37" s="2" t="s">
        <v>65</v>
      </c>
      <c r="H37" s="3" t="s">
        <v>23</v>
      </c>
      <c r="I37" s="3" t="s">
        <v>14</v>
      </c>
      <c r="J37" s="3">
        <v>2</v>
      </c>
      <c r="K37" s="3">
        <v>2</v>
      </c>
      <c r="L37" s="3" t="s">
        <v>13</v>
      </c>
      <c r="M37" s="5">
        <v>33539</v>
      </c>
      <c r="N37" s="3">
        <v>1.06</v>
      </c>
      <c r="O37" s="3">
        <v>-2</v>
      </c>
      <c r="P37" s="9">
        <v>37305</v>
      </c>
      <c r="Q37" s="7">
        <f t="shared" si="1"/>
        <v>0.89904838493499528</v>
      </c>
      <c r="R37" s="13">
        <v>0.51200000000000001</v>
      </c>
    </row>
    <row r="38" spans="1:18" ht="17" x14ac:dyDescent="0.2">
      <c r="A38" s="1">
        <v>37</v>
      </c>
      <c r="B38" s="16">
        <f t="shared" si="0"/>
        <v>45783</v>
      </c>
      <c r="C38" s="3" t="s">
        <v>52</v>
      </c>
      <c r="D38" s="3" t="s">
        <v>57</v>
      </c>
      <c r="E38" s="3">
        <v>6</v>
      </c>
      <c r="F38" s="3" t="s">
        <v>10</v>
      </c>
      <c r="G38" s="2" t="s">
        <v>65</v>
      </c>
      <c r="H38" s="3" t="s">
        <v>11</v>
      </c>
      <c r="I38" s="3" t="s">
        <v>14</v>
      </c>
      <c r="J38" s="3">
        <v>2</v>
      </c>
      <c r="K38" s="3">
        <v>2.5</v>
      </c>
      <c r="L38" s="3" t="s">
        <v>15</v>
      </c>
      <c r="M38" s="5">
        <v>29858</v>
      </c>
      <c r="N38" s="3">
        <v>1.08</v>
      </c>
      <c r="O38" s="3">
        <v>-3</v>
      </c>
      <c r="P38" s="9">
        <v>37755</v>
      </c>
      <c r="Q38" s="7">
        <f t="shared" si="1"/>
        <v>0.79083565090716457</v>
      </c>
      <c r="R38" s="13">
        <v>0.501</v>
      </c>
    </row>
    <row r="39" spans="1:18" ht="17" x14ac:dyDescent="0.2">
      <c r="A39" s="1">
        <v>38</v>
      </c>
      <c r="B39" s="16">
        <f t="shared" si="0"/>
        <v>45784</v>
      </c>
      <c r="C39" s="3" t="s">
        <v>51</v>
      </c>
      <c r="D39" s="3" t="s">
        <v>57</v>
      </c>
      <c r="E39" s="3">
        <v>7</v>
      </c>
      <c r="F39" s="3" t="s">
        <v>10</v>
      </c>
      <c r="G39" s="2" t="s">
        <v>65</v>
      </c>
      <c r="H39" s="3" t="s">
        <v>11</v>
      </c>
      <c r="I39" s="3" t="s">
        <v>12</v>
      </c>
      <c r="J39" s="3">
        <v>2</v>
      </c>
      <c r="K39" s="3">
        <v>2.5</v>
      </c>
      <c r="L39" s="3" t="s">
        <v>15</v>
      </c>
      <c r="M39" s="5">
        <v>31437</v>
      </c>
      <c r="N39" s="3">
        <v>1</v>
      </c>
      <c r="O39" s="3">
        <v>1</v>
      </c>
      <c r="P39" s="9">
        <v>37755</v>
      </c>
      <c r="Q39" s="7">
        <f t="shared" si="1"/>
        <v>0.832657926102503</v>
      </c>
      <c r="R39" s="13">
        <v>0.48099999999999998</v>
      </c>
    </row>
    <row r="40" spans="1:18" ht="17" x14ac:dyDescent="0.2">
      <c r="A40" s="1">
        <v>39</v>
      </c>
      <c r="B40" s="16">
        <f t="shared" si="0"/>
        <v>45785</v>
      </c>
      <c r="C40" s="3" t="s">
        <v>46</v>
      </c>
      <c r="D40" s="3" t="s">
        <v>57</v>
      </c>
      <c r="E40" s="3">
        <v>8</v>
      </c>
      <c r="F40" s="3" t="s">
        <v>10</v>
      </c>
      <c r="G40" s="2" t="s">
        <v>65</v>
      </c>
      <c r="H40" s="3" t="s">
        <v>11</v>
      </c>
      <c r="I40" s="3" t="s">
        <v>12</v>
      </c>
      <c r="J40" s="3">
        <v>2</v>
      </c>
      <c r="K40" s="3">
        <v>2</v>
      </c>
      <c r="L40" s="3" t="s">
        <v>13</v>
      </c>
      <c r="M40" s="5">
        <v>27800</v>
      </c>
      <c r="N40" s="3">
        <v>1.01</v>
      </c>
      <c r="O40" s="3">
        <v>2</v>
      </c>
      <c r="P40" s="9">
        <v>37305</v>
      </c>
      <c r="Q40" s="7">
        <f t="shared" si="1"/>
        <v>0.74520841710226515</v>
      </c>
      <c r="R40" s="14">
        <v>0.48299999999999998</v>
      </c>
    </row>
    <row r="41" spans="1:18" x14ac:dyDescent="0.2">
      <c r="A41" s="1">
        <v>40</v>
      </c>
      <c r="B41" s="16">
        <f t="shared" si="0"/>
        <v>45786</v>
      </c>
      <c r="C41" s="3" t="s">
        <v>47</v>
      </c>
      <c r="D41" s="3" t="s">
        <v>57</v>
      </c>
      <c r="E41" s="3">
        <v>9</v>
      </c>
      <c r="F41" s="3" t="s">
        <v>10</v>
      </c>
      <c r="G41" s="3" t="s">
        <v>66</v>
      </c>
      <c r="H41" s="3" t="s">
        <v>24</v>
      </c>
      <c r="I41" s="3" t="s">
        <v>14</v>
      </c>
      <c r="J41" s="3">
        <v>2</v>
      </c>
      <c r="K41" s="3">
        <v>3</v>
      </c>
      <c r="L41" s="3" t="s">
        <v>15</v>
      </c>
      <c r="M41" s="5">
        <v>30348</v>
      </c>
      <c r="N41" s="3">
        <v>1.07</v>
      </c>
      <c r="O41" s="3">
        <v>-1</v>
      </c>
      <c r="P41" s="11">
        <v>37903</v>
      </c>
      <c r="Q41" s="7">
        <f t="shared" si="1"/>
        <v>0.80067540827902806</v>
      </c>
      <c r="R41" s="13">
        <v>0.41699999999999998</v>
      </c>
    </row>
    <row r="42" spans="1:18" x14ac:dyDescent="0.2">
      <c r="A42" s="1">
        <v>41</v>
      </c>
      <c r="B42" s="16">
        <f t="shared" si="0"/>
        <v>45787</v>
      </c>
      <c r="C42" s="3" t="s">
        <v>48</v>
      </c>
      <c r="D42" s="3" t="s">
        <v>57</v>
      </c>
      <c r="E42" s="3">
        <v>10</v>
      </c>
      <c r="F42" s="3" t="s">
        <v>10</v>
      </c>
      <c r="G42" s="3" t="s">
        <v>66</v>
      </c>
      <c r="H42" s="3" t="s">
        <v>24</v>
      </c>
      <c r="I42" s="3" t="s">
        <v>12</v>
      </c>
      <c r="J42" s="3">
        <v>2</v>
      </c>
      <c r="K42" s="3">
        <v>2</v>
      </c>
      <c r="L42" s="3" t="s">
        <v>15</v>
      </c>
      <c r="M42" s="5">
        <v>29460</v>
      </c>
      <c r="N42" s="3">
        <v>1.02</v>
      </c>
      <c r="O42" s="3">
        <v>1</v>
      </c>
      <c r="P42" s="11">
        <v>37903</v>
      </c>
      <c r="Q42" s="7">
        <f t="shared" si="1"/>
        <v>0.7772471836002427</v>
      </c>
      <c r="R42" s="13">
        <v>0.44800000000000001</v>
      </c>
    </row>
    <row r="43" spans="1:18" x14ac:dyDescent="0.2">
      <c r="A43" s="1">
        <v>42</v>
      </c>
      <c r="B43" s="16">
        <f t="shared" si="0"/>
        <v>45788</v>
      </c>
      <c r="C43" s="3" t="s">
        <v>49</v>
      </c>
      <c r="D43" s="3" t="s">
        <v>57</v>
      </c>
      <c r="E43" s="3">
        <v>11</v>
      </c>
      <c r="F43" s="3" t="s">
        <v>10</v>
      </c>
      <c r="G43" s="3" t="s">
        <v>66</v>
      </c>
      <c r="H43" s="3" t="s">
        <v>24</v>
      </c>
      <c r="I43" s="3" t="s">
        <v>12</v>
      </c>
      <c r="J43" s="3">
        <v>2</v>
      </c>
      <c r="K43" s="3">
        <v>2</v>
      </c>
      <c r="L43" s="3" t="s">
        <v>13</v>
      </c>
      <c r="M43" s="5">
        <v>25785</v>
      </c>
      <c r="N43" s="3">
        <v>1.07</v>
      </c>
      <c r="O43" s="3">
        <v>2</v>
      </c>
      <c r="P43" s="11">
        <v>37903</v>
      </c>
      <c r="Q43" s="7">
        <f t="shared" si="1"/>
        <v>0.68028915916945887</v>
      </c>
      <c r="R43" s="13">
        <v>0.48599999999999999</v>
      </c>
    </row>
    <row r="44" spans="1:18" x14ac:dyDescent="0.2">
      <c r="A44" s="1">
        <v>43</v>
      </c>
      <c r="B44" s="16">
        <f t="shared" si="0"/>
        <v>45789</v>
      </c>
      <c r="C44" s="3" t="s">
        <v>50</v>
      </c>
      <c r="D44" s="3" t="s">
        <v>57</v>
      </c>
      <c r="E44" s="3">
        <v>12</v>
      </c>
      <c r="F44" s="3" t="s">
        <v>10</v>
      </c>
      <c r="G44" s="3" t="s">
        <v>66</v>
      </c>
      <c r="H44" s="3" t="s">
        <v>25</v>
      </c>
      <c r="I44" s="3" t="s">
        <v>14</v>
      </c>
      <c r="J44" s="3">
        <v>2</v>
      </c>
      <c r="K44" s="3">
        <v>3</v>
      </c>
      <c r="L44" s="3" t="s">
        <v>15</v>
      </c>
      <c r="M44" s="5">
        <v>20136</v>
      </c>
      <c r="N44" s="3">
        <v>1.19</v>
      </c>
      <c r="O44" s="3">
        <v>-1</v>
      </c>
      <c r="P44" s="11">
        <v>41083</v>
      </c>
      <c r="Q44" s="7">
        <f t="shared" si="1"/>
        <v>0.49012973736095222</v>
      </c>
      <c r="R44" s="13">
        <v>0.41899999999999998</v>
      </c>
    </row>
    <row r="45" spans="1:18" x14ac:dyDescent="0.2">
      <c r="A45" s="1">
        <v>44</v>
      </c>
      <c r="B45" s="16">
        <f t="shared" si="0"/>
        <v>45790</v>
      </c>
      <c r="C45" s="3" t="s">
        <v>52</v>
      </c>
      <c r="D45" s="3" t="s">
        <v>57</v>
      </c>
      <c r="E45" s="3">
        <v>13</v>
      </c>
      <c r="F45" s="3" t="s">
        <v>10</v>
      </c>
      <c r="G45" s="3" t="s">
        <v>66</v>
      </c>
      <c r="H45" s="3" t="s">
        <v>25</v>
      </c>
      <c r="I45" s="3" t="s">
        <v>14</v>
      </c>
      <c r="J45" s="3">
        <v>2</v>
      </c>
      <c r="K45" s="3">
        <v>3</v>
      </c>
      <c r="L45" s="3" t="s">
        <v>15</v>
      </c>
      <c r="M45" s="5">
        <v>20115</v>
      </c>
      <c r="N45" s="3">
        <v>1.1299999999999999</v>
      </c>
      <c r="O45" s="3">
        <v>-2</v>
      </c>
      <c r="P45" s="11">
        <v>41083</v>
      </c>
      <c r="Q45" s="7">
        <f t="shared" si="1"/>
        <v>0.48961857702699413</v>
      </c>
      <c r="R45" s="13">
        <v>0.39200000000000002</v>
      </c>
    </row>
    <row r="46" spans="1:18" x14ac:dyDescent="0.2">
      <c r="A46" s="1">
        <v>45</v>
      </c>
      <c r="B46" s="16">
        <f t="shared" si="0"/>
        <v>45791</v>
      </c>
      <c r="C46" s="3" t="s">
        <v>51</v>
      </c>
      <c r="D46" s="3" t="s">
        <v>57</v>
      </c>
      <c r="E46" s="3">
        <v>14</v>
      </c>
      <c r="F46" s="3" t="s">
        <v>10</v>
      </c>
      <c r="G46" s="3" t="s">
        <v>66</v>
      </c>
      <c r="H46" s="3" t="s">
        <v>25</v>
      </c>
      <c r="I46" s="3" t="s">
        <v>14</v>
      </c>
      <c r="J46" s="3">
        <v>3</v>
      </c>
      <c r="K46" s="3">
        <v>4</v>
      </c>
      <c r="L46" s="3" t="s">
        <v>15</v>
      </c>
      <c r="M46" s="5">
        <v>21013</v>
      </c>
      <c r="N46" s="3">
        <v>1.05</v>
      </c>
      <c r="O46" s="3">
        <v>-3</v>
      </c>
      <c r="P46" s="11">
        <v>41083</v>
      </c>
      <c r="Q46" s="7">
        <f t="shared" si="1"/>
        <v>0.51147676654577323</v>
      </c>
      <c r="R46" s="13">
        <v>0.33700000000000002</v>
      </c>
    </row>
    <row r="47" spans="1:18" ht="17" x14ac:dyDescent="0.2">
      <c r="A47" s="1">
        <v>46</v>
      </c>
      <c r="B47" s="16">
        <f t="shared" si="0"/>
        <v>45793</v>
      </c>
      <c r="C47" s="3" t="s">
        <v>47</v>
      </c>
      <c r="D47" s="3" t="s">
        <v>57</v>
      </c>
      <c r="E47" s="3">
        <v>16</v>
      </c>
      <c r="F47" s="3" t="s">
        <v>10</v>
      </c>
      <c r="G47" s="2" t="s">
        <v>65</v>
      </c>
      <c r="H47" s="3" t="s">
        <v>26</v>
      </c>
      <c r="I47" s="3" t="s">
        <v>14</v>
      </c>
      <c r="J47" s="3">
        <v>2</v>
      </c>
      <c r="K47" s="3">
        <v>5</v>
      </c>
      <c r="L47" s="3" t="s">
        <v>15</v>
      </c>
      <c r="M47" s="5">
        <v>34648</v>
      </c>
      <c r="N47" s="3">
        <v>0.94</v>
      </c>
      <c r="O47" s="3">
        <v>-4</v>
      </c>
      <c r="P47" s="9">
        <v>37755</v>
      </c>
      <c r="Q47" s="7">
        <f t="shared" si="1"/>
        <v>0.91770626407098399</v>
      </c>
      <c r="R47" s="13">
        <v>0.30299999999999999</v>
      </c>
    </row>
    <row r="48" spans="1:18" ht="17" x14ac:dyDescent="0.2">
      <c r="A48" s="1">
        <v>47</v>
      </c>
      <c r="B48" s="16">
        <f t="shared" si="0"/>
        <v>45794</v>
      </c>
      <c r="C48" s="3" t="s">
        <v>48</v>
      </c>
      <c r="D48" s="3" t="s">
        <v>57</v>
      </c>
      <c r="E48" s="3">
        <v>17</v>
      </c>
      <c r="F48" s="3" t="s">
        <v>10</v>
      </c>
      <c r="G48" s="2" t="s">
        <v>65</v>
      </c>
      <c r="H48" s="3" t="s">
        <v>26</v>
      </c>
      <c r="I48" s="3" t="s">
        <v>12</v>
      </c>
      <c r="J48" s="3">
        <v>2</v>
      </c>
      <c r="K48" s="3">
        <v>4</v>
      </c>
      <c r="L48" s="3" t="s">
        <v>15</v>
      </c>
      <c r="M48" s="5">
        <v>34594</v>
      </c>
      <c r="N48" s="3">
        <v>0.83</v>
      </c>
      <c r="O48" s="3">
        <v>1</v>
      </c>
      <c r="P48" s="9">
        <v>37755</v>
      </c>
      <c r="Q48" s="7">
        <f t="shared" si="1"/>
        <v>0.91627598993510795</v>
      </c>
      <c r="R48" s="13">
        <v>0.33200000000000002</v>
      </c>
    </row>
    <row r="49" spans="1:18" ht="17" x14ac:dyDescent="0.2">
      <c r="A49" s="1">
        <v>48</v>
      </c>
      <c r="B49" s="16">
        <f t="shared" si="0"/>
        <v>45795</v>
      </c>
      <c r="C49" s="3" t="s">
        <v>49</v>
      </c>
      <c r="D49" s="3" t="s">
        <v>57</v>
      </c>
      <c r="E49" s="3">
        <v>18</v>
      </c>
      <c r="F49" s="3" t="s">
        <v>10</v>
      </c>
      <c r="G49" s="2" t="s">
        <v>65</v>
      </c>
      <c r="H49" s="3" t="s">
        <v>26</v>
      </c>
      <c r="I49" s="3" t="s">
        <v>14</v>
      </c>
      <c r="J49" s="3">
        <v>2</v>
      </c>
      <c r="K49" s="3">
        <v>5</v>
      </c>
      <c r="L49" s="3" t="s">
        <v>13</v>
      </c>
      <c r="M49" s="5">
        <v>35012</v>
      </c>
      <c r="N49" s="3">
        <v>0.95</v>
      </c>
      <c r="O49" s="3">
        <v>-1</v>
      </c>
      <c r="P49" s="9">
        <v>37305</v>
      </c>
      <c r="Q49" s="7">
        <f t="shared" si="1"/>
        <v>0.93853370861814767</v>
      </c>
      <c r="R49" s="13">
        <v>0.30199999999999999</v>
      </c>
    </row>
    <row r="50" spans="1:18" ht="17" x14ac:dyDescent="0.2">
      <c r="A50" s="1">
        <v>49</v>
      </c>
      <c r="B50" s="16">
        <f t="shared" si="0"/>
        <v>45796</v>
      </c>
      <c r="C50" s="3" t="s">
        <v>50</v>
      </c>
      <c r="D50" s="3" t="s">
        <v>57</v>
      </c>
      <c r="E50" s="3">
        <v>19</v>
      </c>
      <c r="F50" s="3" t="s">
        <v>10</v>
      </c>
      <c r="G50" s="2" t="s">
        <v>65</v>
      </c>
      <c r="H50" s="3" t="s">
        <v>27</v>
      </c>
      <c r="I50" s="3" t="s">
        <v>12</v>
      </c>
      <c r="J50" s="3">
        <v>2</v>
      </c>
      <c r="K50" s="3">
        <v>4.5</v>
      </c>
      <c r="L50" s="3" t="s">
        <v>15</v>
      </c>
      <c r="M50" s="5">
        <v>33548</v>
      </c>
      <c r="N50" s="3">
        <v>0.85</v>
      </c>
      <c r="O50" s="3">
        <v>1</v>
      </c>
      <c r="P50" s="9">
        <v>37755</v>
      </c>
      <c r="Q50" s="7">
        <f t="shared" si="1"/>
        <v>0.88857105019202753</v>
      </c>
      <c r="R50" s="13">
        <v>0.32900000000000001</v>
      </c>
    </row>
    <row r="51" spans="1:18" ht="17" x14ac:dyDescent="0.2">
      <c r="A51" s="1">
        <v>50</v>
      </c>
      <c r="B51" s="16">
        <f t="shared" si="0"/>
        <v>45797</v>
      </c>
      <c r="C51" s="3" t="s">
        <v>52</v>
      </c>
      <c r="D51" s="3" t="s">
        <v>57</v>
      </c>
      <c r="E51" s="3">
        <v>20</v>
      </c>
      <c r="F51" s="3" t="s">
        <v>10</v>
      </c>
      <c r="G51" s="2" t="s">
        <v>65</v>
      </c>
      <c r="H51" s="3" t="s">
        <v>27</v>
      </c>
      <c r="I51" s="3" t="s">
        <v>12</v>
      </c>
      <c r="J51" s="3">
        <v>2</v>
      </c>
      <c r="K51" s="3">
        <v>4.5</v>
      </c>
      <c r="L51" s="3" t="s">
        <v>15</v>
      </c>
      <c r="M51" s="5">
        <v>33208</v>
      </c>
      <c r="N51" s="3">
        <v>0.92</v>
      </c>
      <c r="O51" s="3">
        <v>2</v>
      </c>
      <c r="P51" s="9">
        <v>37755</v>
      </c>
      <c r="Q51" s="7">
        <f t="shared" si="1"/>
        <v>0.87956562044762288</v>
      </c>
      <c r="R51" s="13">
        <v>0.36599999999999999</v>
      </c>
    </row>
    <row r="52" spans="1:18" ht="17" x14ac:dyDescent="0.2">
      <c r="A52" s="1">
        <v>51</v>
      </c>
      <c r="B52" s="16">
        <f t="shared" si="0"/>
        <v>45798</v>
      </c>
      <c r="C52" s="3" t="s">
        <v>51</v>
      </c>
      <c r="D52" s="3" t="s">
        <v>57</v>
      </c>
      <c r="E52" s="3">
        <v>21</v>
      </c>
      <c r="F52" s="3" t="s">
        <v>10</v>
      </c>
      <c r="G52" s="2" t="s">
        <v>65</v>
      </c>
      <c r="H52" s="3" t="s">
        <v>27</v>
      </c>
      <c r="I52" s="3" t="s">
        <v>14</v>
      </c>
      <c r="J52" s="3">
        <v>3</v>
      </c>
      <c r="K52" s="3">
        <v>5.5</v>
      </c>
      <c r="L52" s="3" t="s">
        <v>15</v>
      </c>
      <c r="M52" s="5">
        <v>31661</v>
      </c>
      <c r="N52" s="3">
        <v>0.94</v>
      </c>
      <c r="O52" s="3">
        <v>-1</v>
      </c>
      <c r="P52" s="9">
        <v>37755</v>
      </c>
      <c r="Q52" s="7">
        <f t="shared" si="1"/>
        <v>0.83859091511058137</v>
      </c>
      <c r="R52" s="13">
        <v>0.313</v>
      </c>
    </row>
    <row r="53" spans="1:18" ht="17" x14ac:dyDescent="0.2">
      <c r="A53" s="1">
        <v>52</v>
      </c>
      <c r="B53" s="16">
        <f t="shared" si="0"/>
        <v>45800</v>
      </c>
      <c r="C53" s="3" t="s">
        <v>47</v>
      </c>
      <c r="D53" s="3" t="s">
        <v>57</v>
      </c>
      <c r="E53" s="3">
        <v>23</v>
      </c>
      <c r="F53" s="3" t="s">
        <v>10</v>
      </c>
      <c r="G53" s="2" t="s">
        <v>65</v>
      </c>
      <c r="H53" s="3" t="s">
        <v>16</v>
      </c>
      <c r="I53" s="3" t="s">
        <v>12</v>
      </c>
      <c r="J53" s="3">
        <v>2</v>
      </c>
      <c r="K53" s="3">
        <v>5</v>
      </c>
      <c r="L53" s="3" t="s">
        <v>13</v>
      </c>
      <c r="M53" s="5">
        <v>31150</v>
      </c>
      <c r="N53" s="3">
        <v>0.87</v>
      </c>
      <c r="O53" s="3">
        <v>1</v>
      </c>
      <c r="P53" s="9">
        <v>37305</v>
      </c>
      <c r="Q53" s="7">
        <f t="shared" si="1"/>
        <v>0.83500871196890503</v>
      </c>
      <c r="R53" s="13">
        <v>0.35299999999999998</v>
      </c>
    </row>
    <row r="54" spans="1:18" ht="17" x14ac:dyDescent="0.2">
      <c r="A54" s="1">
        <v>53</v>
      </c>
      <c r="B54" s="16">
        <f t="shared" si="0"/>
        <v>45801</v>
      </c>
      <c r="C54" s="3" t="s">
        <v>48</v>
      </c>
      <c r="D54" s="3" t="s">
        <v>57</v>
      </c>
      <c r="E54" s="3">
        <v>24</v>
      </c>
      <c r="F54" s="3" t="s">
        <v>10</v>
      </c>
      <c r="G54" s="2" t="s">
        <v>65</v>
      </c>
      <c r="H54" s="3" t="s">
        <v>16</v>
      </c>
      <c r="I54" s="3" t="s">
        <v>12</v>
      </c>
      <c r="J54" s="3">
        <v>2</v>
      </c>
      <c r="K54" s="3">
        <v>5.5</v>
      </c>
      <c r="L54" s="3" t="s">
        <v>13</v>
      </c>
      <c r="M54" s="5">
        <v>30958</v>
      </c>
      <c r="N54" s="3">
        <v>0.94</v>
      </c>
      <c r="O54" s="3">
        <v>2</v>
      </c>
      <c r="P54" s="9">
        <v>37305</v>
      </c>
      <c r="Q54" s="7">
        <f t="shared" si="1"/>
        <v>0.82986194880042885</v>
      </c>
      <c r="R54" s="13">
        <v>0.30599999999999999</v>
      </c>
    </row>
    <row r="55" spans="1:18" ht="17" x14ac:dyDescent="0.2">
      <c r="A55" s="1">
        <v>54</v>
      </c>
      <c r="B55" s="16">
        <f t="shared" si="0"/>
        <v>45801</v>
      </c>
      <c r="C55" s="3" t="s">
        <v>48</v>
      </c>
      <c r="D55" s="3" t="s">
        <v>57</v>
      </c>
      <c r="E55" s="3">
        <v>24</v>
      </c>
      <c r="F55" s="3" t="s">
        <v>10</v>
      </c>
      <c r="G55" s="2" t="s">
        <v>65</v>
      </c>
      <c r="H55" s="3" t="s">
        <v>16</v>
      </c>
      <c r="I55" s="3" t="s">
        <v>14</v>
      </c>
      <c r="J55" s="3">
        <v>2</v>
      </c>
      <c r="K55" s="3">
        <v>5.5</v>
      </c>
      <c r="L55" s="3" t="s">
        <v>15</v>
      </c>
      <c r="M55" s="5">
        <v>34604</v>
      </c>
      <c r="N55" s="3">
        <v>0.96</v>
      </c>
      <c r="O55" s="3">
        <v>-1</v>
      </c>
      <c r="P55" s="9">
        <v>37755</v>
      </c>
      <c r="Q55" s="7">
        <f t="shared" si="1"/>
        <v>0.91654085551582576</v>
      </c>
      <c r="R55" s="13">
        <v>0.27300000000000002</v>
      </c>
    </row>
    <row r="56" spans="1:18" ht="17" x14ac:dyDescent="0.2">
      <c r="A56" s="1">
        <v>55</v>
      </c>
      <c r="B56" s="16">
        <f t="shared" si="0"/>
        <v>45802</v>
      </c>
      <c r="C56" s="3" t="s">
        <v>49</v>
      </c>
      <c r="D56" s="3" t="s">
        <v>57</v>
      </c>
      <c r="E56" s="3">
        <v>25</v>
      </c>
      <c r="F56" s="3" t="s">
        <v>10</v>
      </c>
      <c r="G56" s="2" t="s">
        <v>65</v>
      </c>
      <c r="H56" s="3" t="s">
        <v>16</v>
      </c>
      <c r="I56" s="3" t="s">
        <v>14</v>
      </c>
      <c r="J56" s="3">
        <v>3</v>
      </c>
      <c r="K56" s="3">
        <v>6.5</v>
      </c>
      <c r="L56" s="3" t="s">
        <v>13</v>
      </c>
      <c r="M56" s="5">
        <v>36824</v>
      </c>
      <c r="N56" s="3">
        <v>0.96</v>
      </c>
      <c r="O56" s="3">
        <v>-2</v>
      </c>
      <c r="P56" s="9">
        <v>37305</v>
      </c>
      <c r="Q56" s="7">
        <f t="shared" si="1"/>
        <v>0.98710628602064066</v>
      </c>
      <c r="R56" s="13">
        <v>0.27300000000000002</v>
      </c>
    </row>
    <row r="57" spans="1:18" x14ac:dyDescent="0.2">
      <c r="A57" s="1">
        <v>56</v>
      </c>
      <c r="B57" s="16">
        <f t="shared" si="0"/>
        <v>45803</v>
      </c>
      <c r="C57" s="3" t="s">
        <v>50</v>
      </c>
      <c r="D57" s="3" t="s">
        <v>57</v>
      </c>
      <c r="E57" s="3">
        <v>26</v>
      </c>
      <c r="F57" s="3" t="s">
        <v>10</v>
      </c>
      <c r="G57" s="3" t="s">
        <v>66</v>
      </c>
      <c r="H57" s="3" t="s">
        <v>28</v>
      </c>
      <c r="I57" s="3" t="s">
        <v>14</v>
      </c>
      <c r="J57" s="3">
        <v>4</v>
      </c>
      <c r="K57" s="3">
        <v>7.5</v>
      </c>
      <c r="L57" s="3" t="s">
        <v>13</v>
      </c>
      <c r="M57" s="5">
        <v>40181</v>
      </c>
      <c r="N57" s="3">
        <v>0.85</v>
      </c>
      <c r="O57" s="3">
        <v>-3</v>
      </c>
      <c r="P57" s="11">
        <v>41900</v>
      </c>
      <c r="Q57" s="7">
        <f t="shared" si="1"/>
        <v>0.95897374701670646</v>
      </c>
      <c r="R57" s="13">
        <v>0.247</v>
      </c>
    </row>
    <row r="58" spans="1:18" x14ac:dyDescent="0.2">
      <c r="A58" s="1">
        <v>57</v>
      </c>
      <c r="B58" s="16">
        <f t="shared" si="0"/>
        <v>45804</v>
      </c>
      <c r="C58" s="3" t="s">
        <v>52</v>
      </c>
      <c r="D58" s="3" t="s">
        <v>57</v>
      </c>
      <c r="E58" s="3">
        <v>27</v>
      </c>
      <c r="F58" s="3" t="s">
        <v>10</v>
      </c>
      <c r="G58" s="3" t="s">
        <v>66</v>
      </c>
      <c r="H58" s="3" t="s">
        <v>28</v>
      </c>
      <c r="I58" s="3" t="s">
        <v>14</v>
      </c>
      <c r="J58" s="3">
        <v>4</v>
      </c>
      <c r="K58" s="3">
        <v>8.5</v>
      </c>
      <c r="L58" s="3" t="s">
        <v>15</v>
      </c>
      <c r="M58" s="5">
        <v>26489</v>
      </c>
      <c r="N58" s="3">
        <v>0.8</v>
      </c>
      <c r="O58" s="3">
        <v>-4</v>
      </c>
      <c r="P58" s="11">
        <v>41900</v>
      </c>
      <c r="Q58" s="7">
        <f t="shared" si="1"/>
        <v>0.63219570405727921</v>
      </c>
      <c r="R58" s="13">
        <v>0.22</v>
      </c>
    </row>
    <row r="59" spans="1:18" x14ac:dyDescent="0.2">
      <c r="A59" s="1">
        <v>58</v>
      </c>
      <c r="B59" s="16">
        <f t="shared" si="0"/>
        <v>45805</v>
      </c>
      <c r="C59" s="3" t="s">
        <v>51</v>
      </c>
      <c r="D59" s="3" t="s">
        <v>57</v>
      </c>
      <c r="E59" s="3">
        <v>28</v>
      </c>
      <c r="F59" s="3" t="s">
        <v>10</v>
      </c>
      <c r="G59" s="3" t="s">
        <v>66</v>
      </c>
      <c r="H59" s="3" t="s">
        <v>28</v>
      </c>
      <c r="I59" s="3" t="s">
        <v>14</v>
      </c>
      <c r="J59" s="3">
        <v>4</v>
      </c>
      <c r="K59" s="3">
        <v>9.5</v>
      </c>
      <c r="L59" s="3" t="s">
        <v>13</v>
      </c>
      <c r="M59" s="5">
        <v>24603</v>
      </c>
      <c r="N59" s="3">
        <v>0.74</v>
      </c>
      <c r="O59" s="3">
        <v>-5</v>
      </c>
      <c r="P59" s="11">
        <v>41900</v>
      </c>
      <c r="Q59" s="7">
        <f t="shared" si="1"/>
        <v>0.58718377088305485</v>
      </c>
      <c r="R59" s="13">
        <v>0.18</v>
      </c>
    </row>
    <row r="60" spans="1:18" x14ac:dyDescent="0.2">
      <c r="A60" s="1">
        <v>59</v>
      </c>
      <c r="B60" s="16">
        <f t="shared" si="0"/>
        <v>45807</v>
      </c>
      <c r="C60" s="3" t="s">
        <v>47</v>
      </c>
      <c r="D60" s="3" t="s">
        <v>57</v>
      </c>
      <c r="E60" s="3">
        <v>30</v>
      </c>
      <c r="F60" s="3" t="s">
        <v>10</v>
      </c>
      <c r="G60" s="3" t="s">
        <v>66</v>
      </c>
      <c r="H60" s="3" t="s">
        <v>26</v>
      </c>
      <c r="I60" s="3" t="s">
        <v>12</v>
      </c>
      <c r="J60" s="3">
        <v>4</v>
      </c>
      <c r="K60" s="3">
        <v>8.5</v>
      </c>
      <c r="L60" s="3" t="s">
        <v>15</v>
      </c>
      <c r="M60" s="5">
        <v>39842</v>
      </c>
      <c r="N60" s="3">
        <v>0.64</v>
      </c>
      <c r="O60" s="3">
        <v>1</v>
      </c>
      <c r="P60" s="11">
        <v>41500</v>
      </c>
      <c r="Q60" s="7">
        <f t="shared" si="1"/>
        <v>0.96004819277108433</v>
      </c>
      <c r="R60" s="13">
        <v>0.17599999999999999</v>
      </c>
    </row>
    <row r="61" spans="1:18" x14ac:dyDescent="0.2">
      <c r="A61" s="1">
        <v>60</v>
      </c>
      <c r="B61" s="16">
        <f t="shared" si="0"/>
        <v>45808</v>
      </c>
      <c r="C61" s="3" t="s">
        <v>48</v>
      </c>
      <c r="D61" s="3" t="s">
        <v>57</v>
      </c>
      <c r="E61" s="3">
        <v>31</v>
      </c>
      <c r="F61" s="3" t="s">
        <v>10</v>
      </c>
      <c r="G61" s="3" t="s">
        <v>66</v>
      </c>
      <c r="H61" s="3" t="s">
        <v>26</v>
      </c>
      <c r="I61" s="3" t="s">
        <v>14</v>
      </c>
      <c r="J61" s="3">
        <v>4</v>
      </c>
      <c r="K61" s="3">
        <v>8.5</v>
      </c>
      <c r="L61" s="3" t="s">
        <v>13</v>
      </c>
      <c r="M61" s="5">
        <v>41444</v>
      </c>
      <c r="N61" s="3">
        <v>0.72</v>
      </c>
      <c r="O61" s="3">
        <v>-1</v>
      </c>
      <c r="P61" s="11">
        <v>41500</v>
      </c>
      <c r="Q61" s="7">
        <f t="shared" si="1"/>
        <v>0.99865060240963854</v>
      </c>
      <c r="R61" s="13">
        <v>0.153</v>
      </c>
    </row>
    <row r="62" spans="1:18" x14ac:dyDescent="0.2">
      <c r="A62" s="1">
        <v>61</v>
      </c>
      <c r="B62" s="16">
        <f t="shared" si="0"/>
        <v>45809</v>
      </c>
      <c r="C62" s="3" t="s">
        <v>49</v>
      </c>
      <c r="D62" s="3" t="s">
        <v>58</v>
      </c>
      <c r="E62" s="3">
        <v>1</v>
      </c>
      <c r="F62" s="3" t="s">
        <v>10</v>
      </c>
      <c r="G62" s="3" t="s">
        <v>66</v>
      </c>
      <c r="H62" s="3" t="s">
        <v>26</v>
      </c>
      <c r="I62" s="3" t="s">
        <v>12</v>
      </c>
      <c r="J62" s="3">
        <v>4</v>
      </c>
      <c r="K62" s="3">
        <v>8.5</v>
      </c>
      <c r="L62" s="3" t="s">
        <v>13</v>
      </c>
      <c r="M62" s="5">
        <v>38279</v>
      </c>
      <c r="N62" s="3">
        <v>0.68</v>
      </c>
      <c r="O62" s="3">
        <v>1</v>
      </c>
      <c r="P62" s="11">
        <v>41500</v>
      </c>
      <c r="Q62" s="7">
        <f t="shared" si="1"/>
        <v>0.92238554216867474</v>
      </c>
      <c r="R62" s="13">
        <v>0.17100000000000001</v>
      </c>
    </row>
    <row r="63" spans="1:18" ht="17" x14ac:dyDescent="0.2">
      <c r="A63" s="1">
        <v>62</v>
      </c>
      <c r="B63" s="16">
        <f t="shared" si="0"/>
        <v>45810</v>
      </c>
      <c r="C63" s="3" t="s">
        <v>50</v>
      </c>
      <c r="D63" s="3" t="s">
        <v>58</v>
      </c>
      <c r="E63" s="3">
        <v>2</v>
      </c>
      <c r="F63" s="3" t="s">
        <v>10</v>
      </c>
      <c r="G63" s="2" t="s">
        <v>65</v>
      </c>
      <c r="H63" s="3" t="s">
        <v>29</v>
      </c>
      <c r="I63" s="3" t="s">
        <v>14</v>
      </c>
      <c r="J63" s="3">
        <v>4</v>
      </c>
      <c r="K63" s="3">
        <v>9</v>
      </c>
      <c r="L63" s="3" t="s">
        <v>15</v>
      </c>
      <c r="M63" s="5">
        <v>31688</v>
      </c>
      <c r="N63" s="3">
        <v>0.74</v>
      </c>
      <c r="O63" s="3">
        <v>-1</v>
      </c>
      <c r="P63" s="9">
        <v>37755</v>
      </c>
      <c r="Q63" s="7">
        <f t="shared" si="1"/>
        <v>0.83930605217851939</v>
      </c>
      <c r="R63" s="13">
        <v>0.14499999999999999</v>
      </c>
    </row>
    <row r="64" spans="1:18" ht="17" x14ac:dyDescent="0.2">
      <c r="A64" s="1">
        <v>63</v>
      </c>
      <c r="B64" s="16">
        <f t="shared" si="0"/>
        <v>45811</v>
      </c>
      <c r="C64" s="3" t="s">
        <v>52</v>
      </c>
      <c r="D64" s="3" t="s">
        <v>58</v>
      </c>
      <c r="E64" s="3">
        <v>3</v>
      </c>
      <c r="F64" s="3" t="s">
        <v>10</v>
      </c>
      <c r="G64" s="2" t="s">
        <v>65</v>
      </c>
      <c r="H64" s="3" t="s">
        <v>29</v>
      </c>
      <c r="I64" s="3" t="s">
        <v>14</v>
      </c>
      <c r="J64" s="3">
        <v>4</v>
      </c>
      <c r="K64" s="3">
        <v>10</v>
      </c>
      <c r="L64" s="3" t="s">
        <v>15</v>
      </c>
      <c r="M64" s="5">
        <v>33003</v>
      </c>
      <c r="N64" s="3">
        <v>0.69</v>
      </c>
      <c r="O64" s="3">
        <v>-2</v>
      </c>
      <c r="P64" s="9">
        <v>37755</v>
      </c>
      <c r="Q64" s="7">
        <f t="shared" si="1"/>
        <v>0.87413587604290821</v>
      </c>
      <c r="R64" s="13">
        <v>0.125</v>
      </c>
    </row>
    <row r="65" spans="1:20" ht="17" x14ac:dyDescent="0.2">
      <c r="A65" s="1">
        <v>64</v>
      </c>
      <c r="B65" s="16">
        <f t="shared" si="0"/>
        <v>45812</v>
      </c>
      <c r="C65" s="3" t="s">
        <v>51</v>
      </c>
      <c r="D65" s="3" t="s">
        <v>58</v>
      </c>
      <c r="E65" s="3">
        <v>4</v>
      </c>
      <c r="F65" s="3" t="s">
        <v>10</v>
      </c>
      <c r="G65" s="2" t="s">
        <v>65</v>
      </c>
      <c r="H65" s="3" t="s">
        <v>29</v>
      </c>
      <c r="I65" s="3" t="s">
        <v>12</v>
      </c>
      <c r="J65" s="3">
        <v>4</v>
      </c>
      <c r="K65" s="3">
        <v>9</v>
      </c>
      <c r="L65" s="3" t="s">
        <v>13</v>
      </c>
      <c r="M65" s="5">
        <v>33073</v>
      </c>
      <c r="N65" s="3">
        <v>0.62</v>
      </c>
      <c r="O65" s="3">
        <v>1</v>
      </c>
      <c r="P65" s="9">
        <v>37305</v>
      </c>
      <c r="Q65" s="7">
        <f t="shared" si="1"/>
        <v>0.88655676182817311</v>
      </c>
      <c r="R65" s="13">
        <v>0.14099999999999999</v>
      </c>
    </row>
    <row r="66" spans="1:20" x14ac:dyDescent="0.2">
      <c r="A66" s="1">
        <v>65</v>
      </c>
      <c r="B66" s="16">
        <f t="shared" si="0"/>
        <v>45814</v>
      </c>
      <c r="C66" s="3" t="s">
        <v>47</v>
      </c>
      <c r="D66" s="3" t="s">
        <v>58</v>
      </c>
      <c r="E66" s="3">
        <v>6</v>
      </c>
      <c r="F66" s="3" t="s">
        <v>10</v>
      </c>
      <c r="G66" s="3" t="s">
        <v>66</v>
      </c>
      <c r="H66" s="3" t="s">
        <v>30</v>
      </c>
      <c r="I66" s="3" t="s">
        <v>14</v>
      </c>
      <c r="J66" s="3">
        <v>4</v>
      </c>
      <c r="K66" s="3">
        <v>10.5</v>
      </c>
      <c r="L66" s="3" t="s">
        <v>15</v>
      </c>
      <c r="M66" s="5">
        <v>46783</v>
      </c>
      <c r="N66" s="3">
        <v>0.68</v>
      </c>
      <c r="O66" s="3">
        <v>-1</v>
      </c>
      <c r="P66" s="11">
        <v>52325</v>
      </c>
      <c r="Q66" s="7">
        <f t="shared" si="1"/>
        <v>0.89408504538939326</v>
      </c>
      <c r="R66" s="13">
        <v>0.13800000000000001</v>
      </c>
    </row>
    <row r="67" spans="1:20" x14ac:dyDescent="0.2">
      <c r="A67" s="1">
        <v>66</v>
      </c>
      <c r="B67" s="16">
        <f t="shared" ref="B67:B130" si="2">DATE(2025,MONTH(1&amp;D67),E67)</f>
        <v>45815</v>
      </c>
      <c r="C67" s="3" t="s">
        <v>48</v>
      </c>
      <c r="D67" s="3" t="s">
        <v>58</v>
      </c>
      <c r="E67" s="3">
        <v>7</v>
      </c>
      <c r="F67" s="3" t="s">
        <v>10</v>
      </c>
      <c r="G67" s="3" t="s">
        <v>66</v>
      </c>
      <c r="H67" s="3" t="s">
        <v>30</v>
      </c>
      <c r="I67" s="3" t="s">
        <v>12</v>
      </c>
      <c r="J67" s="3">
        <v>4</v>
      </c>
      <c r="K67" s="3">
        <v>9.5</v>
      </c>
      <c r="L67" s="3" t="s">
        <v>15</v>
      </c>
      <c r="M67" s="5">
        <v>47020</v>
      </c>
      <c r="N67" s="3">
        <v>0.65</v>
      </c>
      <c r="O67" s="3">
        <v>1</v>
      </c>
      <c r="P67" s="11">
        <v>52325</v>
      </c>
      <c r="Q67" s="7">
        <f t="shared" ref="Q67:Q130" si="3">M67/P67</f>
        <v>0.89861442904921163</v>
      </c>
      <c r="R67" s="13">
        <v>0.17199999999999999</v>
      </c>
      <c r="T67" s="15"/>
    </row>
    <row r="68" spans="1:20" x14ac:dyDescent="0.2">
      <c r="A68" s="1">
        <v>67</v>
      </c>
      <c r="B68" s="16">
        <f t="shared" si="2"/>
        <v>45816</v>
      </c>
      <c r="C68" s="3" t="s">
        <v>49</v>
      </c>
      <c r="D68" s="3" t="s">
        <v>58</v>
      </c>
      <c r="E68" s="3">
        <v>8</v>
      </c>
      <c r="F68" s="3" t="s">
        <v>10</v>
      </c>
      <c r="G68" s="3" t="s">
        <v>66</v>
      </c>
      <c r="H68" s="3" t="s">
        <v>30</v>
      </c>
      <c r="I68" s="3" t="s">
        <v>12</v>
      </c>
      <c r="J68" s="3">
        <v>4</v>
      </c>
      <c r="K68" s="3">
        <v>8.5</v>
      </c>
      <c r="L68" s="3" t="s">
        <v>15</v>
      </c>
      <c r="M68" s="5">
        <v>45140</v>
      </c>
      <c r="N68" s="3">
        <v>0.74</v>
      </c>
      <c r="O68" s="3">
        <v>2</v>
      </c>
      <c r="P68" s="11">
        <v>52325</v>
      </c>
      <c r="Q68" s="7">
        <f t="shared" si="3"/>
        <v>0.86268514094601056</v>
      </c>
      <c r="R68" s="13">
        <v>0.188</v>
      </c>
    </row>
    <row r="69" spans="1:20" ht="17" x14ac:dyDescent="0.2">
      <c r="A69" s="1">
        <v>68</v>
      </c>
      <c r="B69" s="16">
        <f t="shared" si="2"/>
        <v>45817</v>
      </c>
      <c r="C69" s="3" t="s">
        <v>50</v>
      </c>
      <c r="D69" s="3" t="s">
        <v>58</v>
      </c>
      <c r="E69" s="3">
        <v>9</v>
      </c>
      <c r="F69" s="3" t="s">
        <v>10</v>
      </c>
      <c r="G69" s="2" t="s">
        <v>65</v>
      </c>
      <c r="H69" s="3" t="s">
        <v>20</v>
      </c>
      <c r="I69" s="3" t="s">
        <v>14</v>
      </c>
      <c r="J69" s="3">
        <v>4</v>
      </c>
      <c r="K69" s="3">
        <v>9</v>
      </c>
      <c r="L69" s="3" t="s">
        <v>15</v>
      </c>
      <c r="M69" s="5">
        <v>31422</v>
      </c>
      <c r="N69" s="3">
        <v>0.74</v>
      </c>
      <c r="O69" s="3">
        <v>-1</v>
      </c>
      <c r="P69" s="9">
        <v>37755</v>
      </c>
      <c r="Q69" s="7">
        <f t="shared" si="3"/>
        <v>0.83226062773142628</v>
      </c>
      <c r="R69" s="13">
        <v>0.154</v>
      </c>
    </row>
    <row r="70" spans="1:20" ht="17" x14ac:dyDescent="0.2">
      <c r="A70" s="1">
        <v>69</v>
      </c>
      <c r="B70" s="16">
        <f t="shared" si="2"/>
        <v>45818</v>
      </c>
      <c r="C70" s="3" t="s">
        <v>52</v>
      </c>
      <c r="D70" s="3" t="s">
        <v>58</v>
      </c>
      <c r="E70" s="3">
        <v>10</v>
      </c>
      <c r="F70" s="3" t="s">
        <v>10</v>
      </c>
      <c r="G70" s="2" t="s">
        <v>65</v>
      </c>
      <c r="H70" s="3" t="s">
        <v>20</v>
      </c>
      <c r="I70" s="3" t="s">
        <v>12</v>
      </c>
      <c r="J70" s="3">
        <v>4</v>
      </c>
      <c r="K70" s="3">
        <v>9</v>
      </c>
      <c r="L70" s="3" t="s">
        <v>15</v>
      </c>
      <c r="M70" s="5">
        <v>31917</v>
      </c>
      <c r="N70" s="3">
        <v>0.73</v>
      </c>
      <c r="O70" s="3">
        <v>1</v>
      </c>
      <c r="P70" s="9">
        <v>37755</v>
      </c>
      <c r="Q70" s="7">
        <f t="shared" si="3"/>
        <v>0.84537147397695667</v>
      </c>
      <c r="R70" s="13">
        <v>0.193</v>
      </c>
    </row>
    <row r="71" spans="1:20" ht="17" x14ac:dyDescent="0.2">
      <c r="A71" s="1">
        <v>70</v>
      </c>
      <c r="B71" s="16">
        <f t="shared" si="2"/>
        <v>45819</v>
      </c>
      <c r="C71" s="3" t="s">
        <v>51</v>
      </c>
      <c r="D71" s="3" t="s">
        <v>58</v>
      </c>
      <c r="E71" s="3">
        <v>11</v>
      </c>
      <c r="F71" s="3" t="s">
        <v>10</v>
      </c>
      <c r="G71" s="2" t="s">
        <v>65</v>
      </c>
      <c r="H71" s="3" t="s">
        <v>20</v>
      </c>
      <c r="I71" s="3" t="s">
        <v>12</v>
      </c>
      <c r="J71" s="3">
        <v>4</v>
      </c>
      <c r="K71" s="3">
        <v>9</v>
      </c>
      <c r="L71" s="3" t="s">
        <v>15</v>
      </c>
      <c r="M71" s="5">
        <v>36003</v>
      </c>
      <c r="N71" s="3">
        <v>0.74</v>
      </c>
      <c r="O71" s="3">
        <v>2</v>
      </c>
      <c r="P71" s="9">
        <v>37755</v>
      </c>
      <c r="Q71" s="7">
        <f t="shared" si="3"/>
        <v>0.95359555025824394</v>
      </c>
      <c r="R71" s="13">
        <v>0.219</v>
      </c>
    </row>
    <row r="72" spans="1:20" ht="17" x14ac:dyDescent="0.2">
      <c r="A72" s="1">
        <v>71</v>
      </c>
      <c r="B72" s="16">
        <f t="shared" si="2"/>
        <v>45821</v>
      </c>
      <c r="C72" s="3" t="s">
        <v>47</v>
      </c>
      <c r="D72" s="3" t="s">
        <v>58</v>
      </c>
      <c r="E72" s="3">
        <v>13</v>
      </c>
      <c r="F72" s="3" t="s">
        <v>10</v>
      </c>
      <c r="G72" s="2" t="s">
        <v>65</v>
      </c>
      <c r="H72" s="3" t="s">
        <v>30</v>
      </c>
      <c r="I72" s="3" t="s">
        <v>12</v>
      </c>
      <c r="J72" s="3">
        <v>4</v>
      </c>
      <c r="K72" s="3">
        <v>8.5</v>
      </c>
      <c r="L72" s="3" t="s">
        <v>15</v>
      </c>
      <c r="M72" s="5">
        <v>36622</v>
      </c>
      <c r="N72" s="3">
        <v>0.81</v>
      </c>
      <c r="O72" s="3">
        <v>3</v>
      </c>
      <c r="P72" s="9">
        <v>37755</v>
      </c>
      <c r="Q72" s="7">
        <f t="shared" si="3"/>
        <v>0.96999072970467493</v>
      </c>
      <c r="R72" s="13">
        <v>0.25800000000000001</v>
      </c>
    </row>
    <row r="73" spans="1:20" ht="17" x14ac:dyDescent="0.2">
      <c r="A73" s="1">
        <v>72</v>
      </c>
      <c r="B73" s="16">
        <f t="shared" si="2"/>
        <v>45822</v>
      </c>
      <c r="C73" s="3" t="s">
        <v>48</v>
      </c>
      <c r="D73" s="3" t="s">
        <v>58</v>
      </c>
      <c r="E73" s="3">
        <v>14</v>
      </c>
      <c r="F73" s="3" t="s">
        <v>10</v>
      </c>
      <c r="G73" s="2" t="s">
        <v>65</v>
      </c>
      <c r="H73" s="3" t="s">
        <v>30</v>
      </c>
      <c r="I73" s="3" t="s">
        <v>12</v>
      </c>
      <c r="J73" s="3">
        <v>4</v>
      </c>
      <c r="K73" s="3">
        <v>7.5</v>
      </c>
      <c r="L73" s="3" t="s">
        <v>15</v>
      </c>
      <c r="M73" s="5">
        <v>36414</v>
      </c>
      <c r="N73" s="3">
        <v>0.88</v>
      </c>
      <c r="O73" s="3">
        <v>4</v>
      </c>
      <c r="P73" s="9">
        <v>37755</v>
      </c>
      <c r="Q73" s="7">
        <f t="shared" si="3"/>
        <v>0.96448152562574496</v>
      </c>
      <c r="R73" s="13">
        <v>0.29599999999999999</v>
      </c>
    </row>
    <row r="74" spans="1:20" ht="17" x14ac:dyDescent="0.2">
      <c r="A74" s="1">
        <v>73</v>
      </c>
      <c r="B74" s="16">
        <f t="shared" si="2"/>
        <v>45823</v>
      </c>
      <c r="C74" s="3" t="s">
        <v>49</v>
      </c>
      <c r="D74" s="3" t="s">
        <v>58</v>
      </c>
      <c r="E74" s="3">
        <v>15</v>
      </c>
      <c r="F74" s="3" t="s">
        <v>10</v>
      </c>
      <c r="G74" s="2" t="s">
        <v>65</v>
      </c>
      <c r="H74" s="3" t="s">
        <v>30</v>
      </c>
      <c r="I74" s="3" t="s">
        <v>12</v>
      </c>
      <c r="J74" s="3">
        <v>4</v>
      </c>
      <c r="K74" s="3">
        <v>6.5</v>
      </c>
      <c r="L74" s="3" t="s">
        <v>13</v>
      </c>
      <c r="M74" s="5">
        <v>36475</v>
      </c>
      <c r="N74" s="3">
        <v>0.98</v>
      </c>
      <c r="O74" s="3">
        <v>5</v>
      </c>
      <c r="P74" s="9">
        <v>37305</v>
      </c>
      <c r="Q74" s="7">
        <f t="shared" si="3"/>
        <v>0.97775097171960867</v>
      </c>
      <c r="R74" s="13">
        <v>0.31</v>
      </c>
    </row>
    <row r="75" spans="1:20" x14ac:dyDescent="0.2">
      <c r="A75" s="1">
        <v>74</v>
      </c>
      <c r="B75" s="16">
        <f t="shared" si="2"/>
        <v>45824</v>
      </c>
      <c r="C75" s="3" t="s">
        <v>50</v>
      </c>
      <c r="D75" s="3" t="s">
        <v>58</v>
      </c>
      <c r="E75" s="3">
        <v>16</v>
      </c>
      <c r="F75" s="3" t="s">
        <v>10</v>
      </c>
      <c r="G75" s="3" t="s">
        <v>66</v>
      </c>
      <c r="H75" s="3" t="s">
        <v>21</v>
      </c>
      <c r="I75" s="3" t="s">
        <v>12</v>
      </c>
      <c r="J75" s="3">
        <v>4</v>
      </c>
      <c r="K75" s="3">
        <v>5.5</v>
      </c>
      <c r="L75" s="3" t="s">
        <v>15</v>
      </c>
      <c r="M75" s="5">
        <v>24490</v>
      </c>
      <c r="N75" s="3">
        <v>1.01</v>
      </c>
      <c r="O75" s="3">
        <v>6</v>
      </c>
      <c r="P75" s="11">
        <v>47368</v>
      </c>
      <c r="Q75" s="7">
        <f t="shared" si="3"/>
        <v>0.51701570680628273</v>
      </c>
      <c r="R75" s="13">
        <v>0.34699999999999998</v>
      </c>
    </row>
    <row r="76" spans="1:20" x14ac:dyDescent="0.2">
      <c r="A76" s="1">
        <v>75</v>
      </c>
      <c r="B76" s="16">
        <f t="shared" si="2"/>
        <v>45825</v>
      </c>
      <c r="C76" s="3" t="s">
        <v>52</v>
      </c>
      <c r="D76" s="3" t="s">
        <v>58</v>
      </c>
      <c r="E76" s="3">
        <v>17</v>
      </c>
      <c r="F76" s="3" t="s">
        <v>10</v>
      </c>
      <c r="G76" s="3" t="s">
        <v>66</v>
      </c>
      <c r="H76" s="3" t="s">
        <v>21</v>
      </c>
      <c r="I76" s="3" t="s">
        <v>14</v>
      </c>
      <c r="J76" s="3">
        <v>4</v>
      </c>
      <c r="K76" s="3">
        <v>5.5</v>
      </c>
      <c r="L76" s="3" t="s">
        <v>15</v>
      </c>
      <c r="M76" s="5">
        <v>26974</v>
      </c>
      <c r="N76" s="3">
        <v>1.0900000000000001</v>
      </c>
      <c r="O76" s="3">
        <v>-1</v>
      </c>
      <c r="P76" s="11">
        <v>47368</v>
      </c>
      <c r="Q76" s="7">
        <f t="shared" si="3"/>
        <v>0.5694561729437595</v>
      </c>
      <c r="R76" s="13">
        <v>0.29299999999999998</v>
      </c>
    </row>
    <row r="77" spans="1:20" x14ac:dyDescent="0.2">
      <c r="A77" s="1">
        <v>76</v>
      </c>
      <c r="B77" s="16">
        <f t="shared" si="2"/>
        <v>45826</v>
      </c>
      <c r="C77" s="3" t="s">
        <v>51</v>
      </c>
      <c r="D77" s="3" t="s">
        <v>58</v>
      </c>
      <c r="E77" s="3">
        <v>18</v>
      </c>
      <c r="F77" s="3" t="s">
        <v>10</v>
      </c>
      <c r="G77" s="3" t="s">
        <v>66</v>
      </c>
      <c r="H77" s="3" t="s">
        <v>21</v>
      </c>
      <c r="I77" s="3" t="s">
        <v>12</v>
      </c>
      <c r="J77" s="3">
        <v>4</v>
      </c>
      <c r="K77" s="3">
        <v>4.5</v>
      </c>
      <c r="L77" s="3" t="s">
        <v>13</v>
      </c>
      <c r="M77" s="5">
        <v>32200</v>
      </c>
      <c r="N77" s="3">
        <v>1.06</v>
      </c>
      <c r="O77" s="3">
        <v>1</v>
      </c>
      <c r="P77" s="11">
        <v>47368</v>
      </c>
      <c r="Q77" s="7">
        <f t="shared" si="3"/>
        <v>0.6797838203006249</v>
      </c>
      <c r="R77" s="13">
        <v>0.32</v>
      </c>
    </row>
    <row r="78" spans="1:20" x14ac:dyDescent="0.2">
      <c r="A78" s="1">
        <v>77</v>
      </c>
      <c r="B78" s="16">
        <f t="shared" si="2"/>
        <v>45828</v>
      </c>
      <c r="C78" s="3" t="s">
        <v>47</v>
      </c>
      <c r="D78" s="3" t="s">
        <v>58</v>
      </c>
      <c r="E78" s="3">
        <v>20</v>
      </c>
      <c r="F78" s="3" t="s">
        <v>10</v>
      </c>
      <c r="G78" s="3" t="s">
        <v>66</v>
      </c>
      <c r="H78" s="3" t="s">
        <v>31</v>
      </c>
      <c r="I78" s="3" t="s">
        <v>12</v>
      </c>
      <c r="J78" s="3">
        <v>4</v>
      </c>
      <c r="K78" s="3">
        <v>4</v>
      </c>
      <c r="L78" s="3" t="s">
        <v>15</v>
      </c>
      <c r="M78" s="5">
        <v>40169</v>
      </c>
      <c r="N78" s="3">
        <v>1.02</v>
      </c>
      <c r="O78" s="3">
        <v>2</v>
      </c>
      <c r="P78" s="11">
        <v>41331</v>
      </c>
      <c r="Q78" s="7">
        <f t="shared" si="3"/>
        <v>0.97188550966586829</v>
      </c>
      <c r="R78" s="13">
        <v>0.36899999999999999</v>
      </c>
    </row>
    <row r="79" spans="1:20" x14ac:dyDescent="0.2">
      <c r="A79" s="1">
        <v>78</v>
      </c>
      <c r="B79" s="16">
        <f t="shared" si="2"/>
        <v>45829</v>
      </c>
      <c r="C79" s="3" t="s">
        <v>48</v>
      </c>
      <c r="D79" s="3" t="s">
        <v>58</v>
      </c>
      <c r="E79" s="3">
        <v>21</v>
      </c>
      <c r="F79" s="3" t="s">
        <v>10</v>
      </c>
      <c r="G79" s="3" t="s">
        <v>66</v>
      </c>
      <c r="H79" s="3" t="s">
        <v>31</v>
      </c>
      <c r="I79" s="3" t="s">
        <v>14</v>
      </c>
      <c r="J79" s="3">
        <v>4</v>
      </c>
      <c r="K79" s="3">
        <v>5</v>
      </c>
      <c r="L79" s="3" t="s">
        <v>13</v>
      </c>
      <c r="M79" s="5">
        <v>39027</v>
      </c>
      <c r="N79" s="3">
        <v>1.1200000000000001</v>
      </c>
      <c r="O79" s="3">
        <v>-1</v>
      </c>
      <c r="P79" s="11">
        <v>41331</v>
      </c>
      <c r="Q79" s="7">
        <f t="shared" si="3"/>
        <v>0.94425491761631708</v>
      </c>
      <c r="R79" s="13">
        <v>0.32600000000000001</v>
      </c>
    </row>
    <row r="80" spans="1:20" x14ac:dyDescent="0.2">
      <c r="A80" s="1">
        <v>79</v>
      </c>
      <c r="B80" s="16">
        <f t="shared" si="2"/>
        <v>45830</v>
      </c>
      <c r="C80" s="3" t="s">
        <v>49</v>
      </c>
      <c r="D80" s="3" t="s">
        <v>58</v>
      </c>
      <c r="E80" s="3">
        <v>22</v>
      </c>
      <c r="F80" s="3" t="s">
        <v>10</v>
      </c>
      <c r="G80" s="3" t="s">
        <v>66</v>
      </c>
      <c r="H80" s="3" t="s">
        <v>31</v>
      </c>
      <c r="I80" s="3" t="s">
        <v>14</v>
      </c>
      <c r="J80" s="3">
        <v>4</v>
      </c>
      <c r="K80" s="3">
        <v>6</v>
      </c>
      <c r="L80" s="3" t="s">
        <v>13</v>
      </c>
      <c r="M80" s="5">
        <v>40350</v>
      </c>
      <c r="N80" s="3">
        <v>1.08</v>
      </c>
      <c r="O80" s="3">
        <v>-2</v>
      </c>
      <c r="P80" s="11">
        <v>41331</v>
      </c>
      <c r="Q80" s="7">
        <f t="shared" si="3"/>
        <v>0.97626478914132253</v>
      </c>
      <c r="R80" s="13">
        <v>0.29599999999999999</v>
      </c>
    </row>
    <row r="81" spans="1:18" x14ac:dyDescent="0.2">
      <c r="A81" s="1">
        <v>80</v>
      </c>
      <c r="B81" s="16">
        <f t="shared" si="2"/>
        <v>45831</v>
      </c>
      <c r="C81" s="3" t="s">
        <v>50</v>
      </c>
      <c r="D81" s="3" t="s">
        <v>58</v>
      </c>
      <c r="E81" s="3">
        <v>23</v>
      </c>
      <c r="F81" s="3" t="s">
        <v>10</v>
      </c>
      <c r="G81" s="3" t="s">
        <v>66</v>
      </c>
      <c r="H81" s="3" t="s">
        <v>29</v>
      </c>
      <c r="I81" s="3" t="s">
        <v>14</v>
      </c>
      <c r="J81" s="3">
        <v>4</v>
      </c>
      <c r="K81" s="3">
        <v>6</v>
      </c>
      <c r="L81" s="3" t="s">
        <v>15</v>
      </c>
      <c r="M81" s="5">
        <v>30137</v>
      </c>
      <c r="N81" s="3">
        <v>1.07</v>
      </c>
      <c r="O81" s="3">
        <v>-3</v>
      </c>
      <c r="P81" s="11">
        <v>45517</v>
      </c>
      <c r="Q81" s="7">
        <f t="shared" si="3"/>
        <v>0.66210426873475847</v>
      </c>
      <c r="R81" s="13">
        <v>0.255</v>
      </c>
    </row>
    <row r="82" spans="1:18" x14ac:dyDescent="0.2">
      <c r="A82" s="1">
        <v>81</v>
      </c>
      <c r="B82" s="16">
        <f t="shared" si="2"/>
        <v>45832</v>
      </c>
      <c r="C82" s="3" t="s">
        <v>52</v>
      </c>
      <c r="D82" s="3" t="s">
        <v>58</v>
      </c>
      <c r="E82" s="3">
        <v>24</v>
      </c>
      <c r="F82" s="3" t="s">
        <v>10</v>
      </c>
      <c r="G82" s="3" t="s">
        <v>66</v>
      </c>
      <c r="H82" s="3" t="s">
        <v>29</v>
      </c>
      <c r="I82" s="3" t="s">
        <v>14</v>
      </c>
      <c r="J82" s="3">
        <v>4</v>
      </c>
      <c r="K82" s="3">
        <v>6</v>
      </c>
      <c r="L82" s="3" t="s">
        <v>15</v>
      </c>
      <c r="M82" s="5">
        <v>33115</v>
      </c>
      <c r="N82" s="3">
        <v>1.03</v>
      </c>
      <c r="O82" s="3">
        <v>-4</v>
      </c>
      <c r="P82" s="11">
        <v>45517</v>
      </c>
      <c r="Q82" s="7">
        <f t="shared" si="3"/>
        <v>0.72753037326713099</v>
      </c>
      <c r="R82" s="13">
        <v>0.216</v>
      </c>
    </row>
    <row r="83" spans="1:18" x14ac:dyDescent="0.2">
      <c r="A83" s="1">
        <v>82</v>
      </c>
      <c r="B83" s="16">
        <f t="shared" si="2"/>
        <v>45833</v>
      </c>
      <c r="C83" s="3" t="s">
        <v>51</v>
      </c>
      <c r="D83" s="3" t="s">
        <v>58</v>
      </c>
      <c r="E83" s="3">
        <v>25</v>
      </c>
      <c r="F83" s="3" t="s">
        <v>10</v>
      </c>
      <c r="G83" s="3" t="s">
        <v>66</v>
      </c>
      <c r="H83" s="3" t="s">
        <v>29</v>
      </c>
      <c r="I83" s="3" t="s">
        <v>14</v>
      </c>
      <c r="J83" s="3">
        <v>4</v>
      </c>
      <c r="K83" s="3">
        <v>7</v>
      </c>
      <c r="L83" s="3" t="s">
        <v>13</v>
      </c>
      <c r="M83" s="5">
        <v>28301</v>
      </c>
      <c r="N83" s="3">
        <v>0.92</v>
      </c>
      <c r="O83" s="3">
        <v>-5</v>
      </c>
      <c r="P83" s="11">
        <v>45517</v>
      </c>
      <c r="Q83" s="7">
        <f t="shared" si="3"/>
        <v>0.6217676911923018</v>
      </c>
      <c r="R83" s="13">
        <v>0.17299999999999999</v>
      </c>
    </row>
    <row r="84" spans="1:18" ht="17" x14ac:dyDescent="0.2">
      <c r="A84" s="1">
        <v>83</v>
      </c>
      <c r="B84" s="16">
        <f t="shared" si="2"/>
        <v>45835</v>
      </c>
      <c r="C84" s="3" t="s">
        <v>47</v>
      </c>
      <c r="D84" s="3" t="s">
        <v>58</v>
      </c>
      <c r="E84" s="3">
        <v>27</v>
      </c>
      <c r="F84" s="3" t="s">
        <v>10</v>
      </c>
      <c r="G84" s="2" t="s">
        <v>65</v>
      </c>
      <c r="H84" s="3" t="s">
        <v>18</v>
      </c>
      <c r="I84" s="3" t="s">
        <v>14</v>
      </c>
      <c r="J84" s="3">
        <v>4</v>
      </c>
      <c r="K84" s="3">
        <v>8</v>
      </c>
      <c r="L84" s="3" t="s">
        <v>15</v>
      </c>
      <c r="M84" s="5">
        <v>35719</v>
      </c>
      <c r="N84" s="3">
        <v>0.86</v>
      </c>
      <c r="O84" s="3">
        <v>-6</v>
      </c>
      <c r="P84" s="9">
        <v>37755</v>
      </c>
      <c r="Q84" s="7">
        <f t="shared" si="3"/>
        <v>0.94607336776585882</v>
      </c>
      <c r="R84" s="13">
        <v>0.13</v>
      </c>
    </row>
    <row r="85" spans="1:18" ht="17" x14ac:dyDescent="0.2">
      <c r="A85" s="1">
        <v>84</v>
      </c>
      <c r="B85" s="16">
        <f t="shared" si="2"/>
        <v>45836</v>
      </c>
      <c r="C85" s="3" t="s">
        <v>48</v>
      </c>
      <c r="D85" s="3" t="s">
        <v>58</v>
      </c>
      <c r="E85" s="3">
        <v>28</v>
      </c>
      <c r="F85" s="3" t="s">
        <v>10</v>
      </c>
      <c r="G85" s="2" t="s">
        <v>65</v>
      </c>
      <c r="H85" s="3" t="s">
        <v>18</v>
      </c>
      <c r="I85" s="3" t="s">
        <v>12</v>
      </c>
      <c r="J85" s="3">
        <v>4</v>
      </c>
      <c r="K85" s="3">
        <v>7</v>
      </c>
      <c r="L85" s="3" t="s">
        <v>13</v>
      </c>
      <c r="M85" s="5">
        <v>34927</v>
      </c>
      <c r="N85" s="3">
        <v>0.73</v>
      </c>
      <c r="O85" s="3">
        <v>1</v>
      </c>
      <c r="P85" s="9">
        <v>37305</v>
      </c>
      <c r="Q85" s="7">
        <f t="shared" si="3"/>
        <v>0.9362551936737703</v>
      </c>
      <c r="R85" s="13">
        <v>0.17399999999999999</v>
      </c>
    </row>
    <row r="86" spans="1:18" ht="17" x14ac:dyDescent="0.2">
      <c r="A86" s="1">
        <v>85</v>
      </c>
      <c r="B86" s="16">
        <f t="shared" si="2"/>
        <v>45837</v>
      </c>
      <c r="C86" s="3" t="s">
        <v>49</v>
      </c>
      <c r="D86" s="3" t="s">
        <v>58</v>
      </c>
      <c r="E86" s="3">
        <v>29</v>
      </c>
      <c r="F86" s="3" t="s">
        <v>10</v>
      </c>
      <c r="G86" s="2" t="s">
        <v>65</v>
      </c>
      <c r="H86" s="3" t="s">
        <v>18</v>
      </c>
      <c r="I86" s="3" t="s">
        <v>14</v>
      </c>
      <c r="J86" s="3">
        <v>4</v>
      </c>
      <c r="K86" s="3">
        <v>8</v>
      </c>
      <c r="L86" s="3" t="s">
        <v>13</v>
      </c>
      <c r="M86" s="5">
        <v>35214</v>
      </c>
      <c r="N86" s="3">
        <v>0.82</v>
      </c>
      <c r="O86" s="3">
        <v>-1</v>
      </c>
      <c r="P86" s="9">
        <v>37305</v>
      </c>
      <c r="Q86" s="7">
        <f t="shared" si="3"/>
        <v>0.94394853236831522</v>
      </c>
      <c r="R86" s="13">
        <v>0.15</v>
      </c>
    </row>
    <row r="87" spans="1:18" ht="17" x14ac:dyDescent="0.2">
      <c r="A87" s="1">
        <v>86</v>
      </c>
      <c r="B87" s="16">
        <f t="shared" si="2"/>
        <v>45838</v>
      </c>
      <c r="C87" s="3" t="s">
        <v>50</v>
      </c>
      <c r="D87" s="3" t="s">
        <v>58</v>
      </c>
      <c r="E87" s="3">
        <v>30</v>
      </c>
      <c r="F87" s="3" t="s">
        <v>10</v>
      </c>
      <c r="G87" s="2" t="s">
        <v>65</v>
      </c>
      <c r="H87" s="3" t="s">
        <v>32</v>
      </c>
      <c r="I87" s="3" t="s">
        <v>12</v>
      </c>
      <c r="J87" s="3">
        <v>4</v>
      </c>
      <c r="K87" s="3">
        <v>7</v>
      </c>
      <c r="L87" s="3" t="s">
        <v>15</v>
      </c>
      <c r="M87" s="5">
        <v>35691</v>
      </c>
      <c r="N87" s="3">
        <v>0.66</v>
      </c>
      <c r="O87" s="3">
        <v>1</v>
      </c>
      <c r="P87" s="9">
        <v>37755</v>
      </c>
      <c r="Q87" s="7">
        <f t="shared" si="3"/>
        <v>0.945331744139849</v>
      </c>
      <c r="R87" s="13">
        <v>0.17499999999999999</v>
      </c>
    </row>
    <row r="88" spans="1:18" ht="17" x14ac:dyDescent="0.2">
      <c r="A88" s="1">
        <v>87</v>
      </c>
      <c r="B88" s="16">
        <f t="shared" si="2"/>
        <v>45839</v>
      </c>
      <c r="C88" s="3" t="s">
        <v>52</v>
      </c>
      <c r="D88" s="3" t="s">
        <v>59</v>
      </c>
      <c r="E88" s="3">
        <v>1</v>
      </c>
      <c r="F88" s="3" t="s">
        <v>10</v>
      </c>
      <c r="G88" s="2" t="s">
        <v>65</v>
      </c>
      <c r="H88" s="3" t="s">
        <v>32</v>
      </c>
      <c r="I88" s="3" t="s">
        <v>12</v>
      </c>
      <c r="J88" s="3">
        <v>4</v>
      </c>
      <c r="K88" s="3">
        <v>6</v>
      </c>
      <c r="L88" s="3" t="s">
        <v>13</v>
      </c>
      <c r="M88" s="5">
        <v>32355</v>
      </c>
      <c r="N88" s="3">
        <v>0.73</v>
      </c>
      <c r="O88" s="3">
        <v>2</v>
      </c>
      <c r="P88" s="9">
        <v>37305</v>
      </c>
      <c r="Q88" s="7">
        <f t="shared" si="3"/>
        <v>0.86731001206272618</v>
      </c>
      <c r="R88" s="13">
        <v>0.186</v>
      </c>
    </row>
    <row r="89" spans="1:18" ht="17" x14ac:dyDescent="0.2">
      <c r="A89" s="1">
        <v>88</v>
      </c>
      <c r="B89" s="16">
        <f t="shared" si="2"/>
        <v>45840</v>
      </c>
      <c r="C89" s="3" t="s">
        <v>51</v>
      </c>
      <c r="D89" s="3" t="s">
        <v>59</v>
      </c>
      <c r="E89" s="3">
        <v>2</v>
      </c>
      <c r="F89" s="3" t="s">
        <v>10</v>
      </c>
      <c r="G89" s="2" t="s">
        <v>65</v>
      </c>
      <c r="H89" s="3" t="s">
        <v>32</v>
      </c>
      <c r="I89" s="3" t="s">
        <v>14</v>
      </c>
      <c r="J89" s="3">
        <v>4</v>
      </c>
      <c r="K89" s="3">
        <v>6</v>
      </c>
      <c r="L89" s="3" t="s">
        <v>15</v>
      </c>
      <c r="M89" s="5">
        <v>35845</v>
      </c>
      <c r="N89" s="3">
        <v>0.75</v>
      </c>
      <c r="O89" s="3">
        <v>-1</v>
      </c>
      <c r="P89" s="9">
        <v>37755</v>
      </c>
      <c r="Q89" s="7">
        <f t="shared" si="3"/>
        <v>0.94941067408290292</v>
      </c>
      <c r="R89" s="13">
        <v>0.16400000000000001</v>
      </c>
    </row>
    <row r="90" spans="1:18" x14ac:dyDescent="0.2">
      <c r="A90" s="1">
        <v>89</v>
      </c>
      <c r="B90" s="16">
        <f t="shared" si="2"/>
        <v>45842</v>
      </c>
      <c r="C90" s="3" t="s">
        <v>47</v>
      </c>
      <c r="D90" s="3" t="s">
        <v>59</v>
      </c>
      <c r="E90" s="3">
        <v>4</v>
      </c>
      <c r="F90" s="3" t="s">
        <v>10</v>
      </c>
      <c r="G90" s="3" t="s">
        <v>66</v>
      </c>
      <c r="H90" s="3" t="s">
        <v>33</v>
      </c>
      <c r="I90" s="3" t="s">
        <v>12</v>
      </c>
      <c r="J90" s="3">
        <v>4</v>
      </c>
      <c r="K90" s="3">
        <v>6.5</v>
      </c>
      <c r="L90" s="3" t="s">
        <v>13</v>
      </c>
      <c r="M90" s="5">
        <v>37355</v>
      </c>
      <c r="N90" s="3">
        <v>0.74</v>
      </c>
      <c r="O90" s="3">
        <v>1</v>
      </c>
      <c r="P90" s="11">
        <v>41373</v>
      </c>
      <c r="Q90" s="7">
        <f t="shared" si="3"/>
        <v>0.9028835230706016</v>
      </c>
      <c r="R90" s="13">
        <v>0.20300000000000001</v>
      </c>
    </row>
    <row r="91" spans="1:18" x14ac:dyDescent="0.2">
      <c r="A91" s="1">
        <v>90</v>
      </c>
      <c r="B91" s="16">
        <f t="shared" si="2"/>
        <v>45843</v>
      </c>
      <c r="C91" s="3" t="s">
        <v>48</v>
      </c>
      <c r="D91" s="3" t="s">
        <v>59</v>
      </c>
      <c r="E91" s="3">
        <v>5</v>
      </c>
      <c r="F91" s="3" t="s">
        <v>10</v>
      </c>
      <c r="G91" s="3" t="s">
        <v>66</v>
      </c>
      <c r="H91" s="3" t="s">
        <v>33</v>
      </c>
      <c r="I91" s="3" t="s">
        <v>12</v>
      </c>
      <c r="J91" s="3">
        <v>4</v>
      </c>
      <c r="K91" s="3">
        <v>6.5</v>
      </c>
      <c r="L91" s="3" t="s">
        <v>13</v>
      </c>
      <c r="M91" s="5">
        <v>34319</v>
      </c>
      <c r="N91" s="3">
        <v>0.81</v>
      </c>
      <c r="O91" s="3">
        <v>2</v>
      </c>
      <c r="P91" s="11">
        <v>41373</v>
      </c>
      <c r="Q91" s="7">
        <f t="shared" si="3"/>
        <v>0.82950233243903027</v>
      </c>
      <c r="R91" s="13">
        <v>0.23499999999999999</v>
      </c>
    </row>
    <row r="92" spans="1:18" x14ac:dyDescent="0.2">
      <c r="A92" s="1">
        <v>91</v>
      </c>
      <c r="B92" s="16">
        <f t="shared" si="2"/>
        <v>45844</v>
      </c>
      <c r="C92" s="3" t="s">
        <v>49</v>
      </c>
      <c r="D92" s="3" t="s">
        <v>59</v>
      </c>
      <c r="E92" s="3">
        <v>6</v>
      </c>
      <c r="F92" s="3" t="s">
        <v>10</v>
      </c>
      <c r="G92" s="3" t="s">
        <v>66</v>
      </c>
      <c r="H92" s="3" t="s">
        <v>33</v>
      </c>
      <c r="I92" s="3" t="s">
        <v>12</v>
      </c>
      <c r="J92" s="3">
        <v>4</v>
      </c>
      <c r="K92" s="3">
        <v>6.5</v>
      </c>
      <c r="L92" s="3" t="s">
        <v>13</v>
      </c>
      <c r="M92" s="5">
        <v>26771</v>
      </c>
      <c r="N92" s="3">
        <v>0.89</v>
      </c>
      <c r="O92" s="3">
        <v>3</v>
      </c>
      <c r="P92" s="11">
        <v>41373</v>
      </c>
      <c r="Q92" s="7">
        <f t="shared" si="3"/>
        <v>0.64706451067121074</v>
      </c>
      <c r="R92" s="13">
        <v>0.25800000000000001</v>
      </c>
    </row>
    <row r="93" spans="1:18" ht="17" x14ac:dyDescent="0.2">
      <c r="A93" s="1">
        <v>92</v>
      </c>
      <c r="B93" s="16">
        <f t="shared" si="2"/>
        <v>45845</v>
      </c>
      <c r="C93" s="3" t="s">
        <v>50</v>
      </c>
      <c r="D93" s="3" t="s">
        <v>59</v>
      </c>
      <c r="E93" s="3">
        <v>7</v>
      </c>
      <c r="F93" s="3" t="s">
        <v>10</v>
      </c>
      <c r="G93" s="2" t="s">
        <v>65</v>
      </c>
      <c r="H93" s="3" t="s">
        <v>34</v>
      </c>
      <c r="I93" s="3" t="s">
        <v>12</v>
      </c>
      <c r="J93" s="3">
        <v>4</v>
      </c>
      <c r="K93" s="3">
        <v>6.5</v>
      </c>
      <c r="L93" s="3" t="s">
        <v>15</v>
      </c>
      <c r="M93" s="5">
        <v>32441</v>
      </c>
      <c r="N93" s="3">
        <v>0.9</v>
      </c>
      <c r="O93" s="3">
        <v>4</v>
      </c>
      <c r="P93" s="9">
        <v>37755</v>
      </c>
      <c r="Q93" s="7">
        <f t="shared" si="3"/>
        <v>0.85925043040656868</v>
      </c>
      <c r="R93" s="13">
        <v>0.31</v>
      </c>
    </row>
    <row r="94" spans="1:18" ht="17" x14ac:dyDescent="0.2">
      <c r="A94" s="1">
        <v>93</v>
      </c>
      <c r="B94" s="16">
        <f t="shared" si="2"/>
        <v>45846</v>
      </c>
      <c r="C94" s="3" t="s">
        <v>52</v>
      </c>
      <c r="D94" s="3" t="s">
        <v>59</v>
      </c>
      <c r="E94" s="3">
        <v>8</v>
      </c>
      <c r="F94" s="3" t="s">
        <v>10</v>
      </c>
      <c r="G94" s="2" t="s">
        <v>65</v>
      </c>
      <c r="H94" s="3" t="s">
        <v>34</v>
      </c>
      <c r="I94" s="3" t="s">
        <v>12</v>
      </c>
      <c r="J94" s="3">
        <v>4</v>
      </c>
      <c r="K94" s="3">
        <v>6.5</v>
      </c>
      <c r="L94" s="3" t="s">
        <v>15</v>
      </c>
      <c r="M94" s="5">
        <v>30169</v>
      </c>
      <c r="N94" s="3">
        <v>0.96</v>
      </c>
      <c r="O94" s="3">
        <v>5</v>
      </c>
      <c r="P94" s="9">
        <v>37755</v>
      </c>
      <c r="Q94" s="7">
        <f t="shared" si="3"/>
        <v>0.79907297046748771</v>
      </c>
      <c r="R94" s="13">
        <v>0.33200000000000002</v>
      </c>
    </row>
    <row r="95" spans="1:18" ht="17" x14ac:dyDescent="0.2">
      <c r="A95" s="1">
        <v>94</v>
      </c>
      <c r="B95" s="16">
        <f t="shared" si="2"/>
        <v>45847</v>
      </c>
      <c r="C95" s="3" t="s">
        <v>51</v>
      </c>
      <c r="D95" s="3" t="s">
        <v>59</v>
      </c>
      <c r="E95" s="3">
        <v>9</v>
      </c>
      <c r="F95" s="3" t="s">
        <v>10</v>
      </c>
      <c r="G95" s="2" t="s">
        <v>65</v>
      </c>
      <c r="H95" s="3" t="s">
        <v>34</v>
      </c>
      <c r="I95" s="3" t="s">
        <v>12</v>
      </c>
      <c r="J95" s="3">
        <v>4</v>
      </c>
      <c r="K95" s="3">
        <v>5.5</v>
      </c>
      <c r="L95" s="3" t="s">
        <v>15</v>
      </c>
      <c r="M95" s="5">
        <v>31691</v>
      </c>
      <c r="N95" s="3">
        <v>1.02</v>
      </c>
      <c r="O95" s="3">
        <v>6</v>
      </c>
      <c r="P95" s="9">
        <v>37755</v>
      </c>
      <c r="Q95" s="7">
        <f t="shared" si="3"/>
        <v>0.83938551185273469</v>
      </c>
      <c r="R95" s="13">
        <v>0.35299999999999998</v>
      </c>
    </row>
    <row r="96" spans="1:18" ht="17" x14ac:dyDescent="0.2">
      <c r="A96" s="1">
        <v>95</v>
      </c>
      <c r="B96" s="16">
        <f t="shared" si="2"/>
        <v>45848</v>
      </c>
      <c r="C96" s="3" t="s">
        <v>46</v>
      </c>
      <c r="D96" s="3" t="s">
        <v>59</v>
      </c>
      <c r="E96" s="3">
        <v>10</v>
      </c>
      <c r="F96" s="3" t="s">
        <v>10</v>
      </c>
      <c r="G96" s="2" t="s">
        <v>65</v>
      </c>
      <c r="H96" s="3" t="s">
        <v>20</v>
      </c>
      <c r="I96" s="3" t="s">
        <v>12</v>
      </c>
      <c r="J96" s="3">
        <v>4</v>
      </c>
      <c r="K96" s="3">
        <v>5</v>
      </c>
      <c r="L96" s="3" t="s">
        <v>15</v>
      </c>
      <c r="M96" s="5">
        <v>31884</v>
      </c>
      <c r="N96" s="3">
        <v>1.25</v>
      </c>
      <c r="O96" s="3">
        <v>7</v>
      </c>
      <c r="P96" s="9">
        <v>37755</v>
      </c>
      <c r="Q96" s="7">
        <f t="shared" si="3"/>
        <v>0.84449741756058805</v>
      </c>
      <c r="R96" s="13">
        <v>0.40600000000000003</v>
      </c>
    </row>
    <row r="97" spans="1:18" ht="17" x14ac:dyDescent="0.2">
      <c r="A97" s="1">
        <v>96</v>
      </c>
      <c r="B97" s="16">
        <f t="shared" si="2"/>
        <v>45849</v>
      </c>
      <c r="C97" s="3" t="s">
        <v>47</v>
      </c>
      <c r="D97" s="3" t="s">
        <v>59</v>
      </c>
      <c r="E97" s="3">
        <v>11</v>
      </c>
      <c r="F97" s="3" t="s">
        <v>10</v>
      </c>
      <c r="G97" s="2" t="s">
        <v>65</v>
      </c>
      <c r="H97" s="3" t="s">
        <v>20</v>
      </c>
      <c r="I97" s="3" t="s">
        <v>12</v>
      </c>
      <c r="J97" s="3">
        <v>3</v>
      </c>
      <c r="K97" s="3">
        <v>5</v>
      </c>
      <c r="L97" s="3" t="s">
        <v>15</v>
      </c>
      <c r="M97" s="5">
        <v>35452</v>
      </c>
      <c r="N97" s="3">
        <v>1.27</v>
      </c>
      <c r="O97" s="3">
        <v>8</v>
      </c>
      <c r="P97" s="9">
        <v>37755</v>
      </c>
      <c r="Q97" s="7">
        <f t="shared" si="3"/>
        <v>0.93900145676069391</v>
      </c>
      <c r="R97" s="13">
        <v>0.44</v>
      </c>
    </row>
    <row r="98" spans="1:18" ht="17" x14ac:dyDescent="0.2">
      <c r="A98" s="1">
        <v>97</v>
      </c>
      <c r="B98" s="16">
        <f t="shared" si="2"/>
        <v>45850</v>
      </c>
      <c r="C98" s="3" t="s">
        <v>48</v>
      </c>
      <c r="D98" s="3" t="s">
        <v>59</v>
      </c>
      <c r="E98" s="3">
        <v>12</v>
      </c>
      <c r="F98" s="3" t="s">
        <v>10</v>
      </c>
      <c r="G98" s="2" t="s">
        <v>65</v>
      </c>
      <c r="H98" s="3" t="s">
        <v>20</v>
      </c>
      <c r="I98" s="3" t="s">
        <v>12</v>
      </c>
      <c r="J98" s="3">
        <v>3</v>
      </c>
      <c r="K98" s="3">
        <v>4</v>
      </c>
      <c r="L98" s="3" t="s">
        <v>13</v>
      </c>
      <c r="M98" s="5">
        <v>36453</v>
      </c>
      <c r="N98" s="3">
        <v>1.27</v>
      </c>
      <c r="O98" s="3">
        <v>9</v>
      </c>
      <c r="P98" s="9">
        <v>37305</v>
      </c>
      <c r="Q98" s="7">
        <f t="shared" si="3"/>
        <v>0.97716123843988745</v>
      </c>
      <c r="R98" s="13">
        <v>0.504</v>
      </c>
    </row>
    <row r="99" spans="1:18" ht="17" x14ac:dyDescent="0.2">
      <c r="A99" s="1">
        <v>98</v>
      </c>
      <c r="B99" s="16">
        <f t="shared" si="2"/>
        <v>45851</v>
      </c>
      <c r="C99" s="3" t="s">
        <v>49</v>
      </c>
      <c r="D99" s="3" t="s">
        <v>59</v>
      </c>
      <c r="E99" s="3">
        <v>13</v>
      </c>
      <c r="F99" s="3" t="s">
        <v>10</v>
      </c>
      <c r="G99" s="2" t="s">
        <v>65</v>
      </c>
      <c r="H99" s="3" t="s">
        <v>20</v>
      </c>
      <c r="I99" s="3" t="s">
        <v>12</v>
      </c>
      <c r="J99" s="3">
        <v>3</v>
      </c>
      <c r="K99" s="3">
        <v>3</v>
      </c>
      <c r="L99" s="3" t="s">
        <v>13</v>
      </c>
      <c r="M99" s="5">
        <v>36497</v>
      </c>
      <c r="N99" s="3">
        <v>1.41</v>
      </c>
      <c r="O99" s="3">
        <v>10</v>
      </c>
      <c r="P99" s="9">
        <v>37305</v>
      </c>
      <c r="Q99" s="7">
        <f t="shared" si="3"/>
        <v>0.9783407049993299</v>
      </c>
      <c r="R99" s="13">
        <v>0.56200000000000006</v>
      </c>
    </row>
    <row r="100" spans="1:18" x14ac:dyDescent="0.2">
      <c r="A100" s="1">
        <v>99</v>
      </c>
      <c r="B100" s="16">
        <f t="shared" si="2"/>
        <v>45856</v>
      </c>
      <c r="C100" s="3" t="s">
        <v>47</v>
      </c>
      <c r="D100" s="3" t="s">
        <v>59</v>
      </c>
      <c r="E100" s="3">
        <v>18</v>
      </c>
      <c r="F100" s="3" t="s">
        <v>10</v>
      </c>
      <c r="G100" s="3" t="s">
        <v>66</v>
      </c>
      <c r="H100" s="3" t="s">
        <v>35</v>
      </c>
      <c r="I100" s="3" t="s">
        <v>14</v>
      </c>
      <c r="J100" s="3">
        <v>3</v>
      </c>
      <c r="K100" s="3">
        <v>4</v>
      </c>
      <c r="L100" s="3" t="s">
        <v>13</v>
      </c>
      <c r="M100" s="5">
        <v>41011</v>
      </c>
      <c r="N100" s="3">
        <v>1.32</v>
      </c>
      <c r="O100" s="3">
        <v>-1</v>
      </c>
      <c r="P100" s="11">
        <v>41649</v>
      </c>
      <c r="Q100" s="7">
        <f t="shared" si="3"/>
        <v>0.98468150495810225</v>
      </c>
      <c r="R100" s="13">
        <v>0.51800000000000002</v>
      </c>
    </row>
    <row r="101" spans="1:18" x14ac:dyDescent="0.2">
      <c r="A101" s="1">
        <v>100</v>
      </c>
      <c r="B101" s="16">
        <f t="shared" si="2"/>
        <v>45857</v>
      </c>
      <c r="C101" s="3" t="s">
        <v>48</v>
      </c>
      <c r="D101" s="3" t="s">
        <v>59</v>
      </c>
      <c r="E101" s="3">
        <v>19</v>
      </c>
      <c r="F101" s="3" t="s">
        <v>10</v>
      </c>
      <c r="G101" s="3" t="s">
        <v>66</v>
      </c>
      <c r="H101" s="3" t="s">
        <v>35</v>
      </c>
      <c r="I101" s="3" t="s">
        <v>14</v>
      </c>
      <c r="J101" s="3">
        <v>3</v>
      </c>
      <c r="K101" s="3">
        <v>5</v>
      </c>
      <c r="L101" s="3" t="s">
        <v>15</v>
      </c>
      <c r="M101" s="5">
        <v>40703</v>
      </c>
      <c r="N101" s="3">
        <v>1.31</v>
      </c>
      <c r="O101" s="3">
        <v>-2</v>
      </c>
      <c r="P101" s="11">
        <v>41649</v>
      </c>
      <c r="Q101" s="7">
        <f t="shared" si="3"/>
        <v>0.9772863694206344</v>
      </c>
      <c r="R101" s="13">
        <v>0.436</v>
      </c>
    </row>
    <row r="102" spans="1:18" x14ac:dyDescent="0.2">
      <c r="A102" s="1">
        <v>101</v>
      </c>
      <c r="B102" s="16">
        <f t="shared" si="2"/>
        <v>45858</v>
      </c>
      <c r="C102" s="3" t="s">
        <v>49</v>
      </c>
      <c r="D102" s="3" t="s">
        <v>59</v>
      </c>
      <c r="E102" s="3">
        <v>20</v>
      </c>
      <c r="F102" s="3" t="s">
        <v>10</v>
      </c>
      <c r="G102" s="3" t="s">
        <v>66</v>
      </c>
      <c r="H102" s="3" t="s">
        <v>35</v>
      </c>
      <c r="I102" s="3" t="s">
        <v>12</v>
      </c>
      <c r="J102" s="3">
        <v>3</v>
      </c>
      <c r="K102" s="3">
        <v>5</v>
      </c>
      <c r="L102" s="3" t="s">
        <v>13</v>
      </c>
      <c r="M102" s="5">
        <v>40433</v>
      </c>
      <c r="N102" s="3">
        <v>1.25</v>
      </c>
      <c r="O102" s="3">
        <v>1</v>
      </c>
      <c r="P102" s="11">
        <v>41649</v>
      </c>
      <c r="Q102" s="7">
        <f t="shared" si="3"/>
        <v>0.97080362073519177</v>
      </c>
      <c r="R102" s="13">
        <v>0.48299999999999998</v>
      </c>
    </row>
    <row r="103" spans="1:18" x14ac:dyDescent="0.2">
      <c r="A103" s="1">
        <v>102</v>
      </c>
      <c r="B103" s="16">
        <f t="shared" si="2"/>
        <v>45859</v>
      </c>
      <c r="C103" s="3" t="s">
        <v>50</v>
      </c>
      <c r="D103" s="3" t="s">
        <v>59</v>
      </c>
      <c r="E103" s="3">
        <v>21</v>
      </c>
      <c r="F103" s="3" t="s">
        <v>10</v>
      </c>
      <c r="G103" s="3" t="s">
        <v>66</v>
      </c>
      <c r="H103" s="3" t="s">
        <v>36</v>
      </c>
      <c r="I103" s="3" t="s">
        <v>14</v>
      </c>
      <c r="J103" s="3">
        <v>3</v>
      </c>
      <c r="K103" s="3">
        <v>6</v>
      </c>
      <c r="L103" s="3" t="s">
        <v>15</v>
      </c>
      <c r="M103" s="5">
        <v>42843</v>
      </c>
      <c r="N103" s="3">
        <v>1.26</v>
      </c>
      <c r="O103" s="3">
        <v>-1</v>
      </c>
      <c r="P103" s="11">
        <v>42901</v>
      </c>
      <c r="Q103" s="7">
        <f t="shared" si="3"/>
        <v>0.99864805016200087</v>
      </c>
      <c r="R103" s="13">
        <v>0.45</v>
      </c>
    </row>
    <row r="104" spans="1:18" x14ac:dyDescent="0.2">
      <c r="A104" s="1">
        <v>103</v>
      </c>
      <c r="B104" s="16">
        <f t="shared" si="2"/>
        <v>45860</v>
      </c>
      <c r="C104" s="3" t="s">
        <v>52</v>
      </c>
      <c r="D104" s="3" t="s">
        <v>59</v>
      </c>
      <c r="E104" s="3">
        <v>22</v>
      </c>
      <c r="F104" s="3" t="s">
        <v>10</v>
      </c>
      <c r="G104" s="3" t="s">
        <v>66</v>
      </c>
      <c r="H104" s="3" t="s">
        <v>36</v>
      </c>
      <c r="I104" s="3" t="s">
        <v>14</v>
      </c>
      <c r="J104" s="3">
        <v>3</v>
      </c>
      <c r="K104" s="3">
        <v>6</v>
      </c>
      <c r="L104" s="3" t="s">
        <v>15</v>
      </c>
      <c r="M104" s="5">
        <v>43409</v>
      </c>
      <c r="N104" s="3">
        <v>1.23</v>
      </c>
      <c r="O104" s="3">
        <v>-2</v>
      </c>
      <c r="P104" s="11">
        <v>42901</v>
      </c>
      <c r="Q104" s="7">
        <f t="shared" si="3"/>
        <v>1.011841215822475</v>
      </c>
      <c r="R104" s="13">
        <v>0.38300000000000001</v>
      </c>
    </row>
    <row r="105" spans="1:18" x14ac:dyDescent="0.2">
      <c r="A105" s="1">
        <v>104</v>
      </c>
      <c r="B105" s="16">
        <f t="shared" si="2"/>
        <v>45861</v>
      </c>
      <c r="C105" s="3" t="s">
        <v>51</v>
      </c>
      <c r="D105" s="3" t="s">
        <v>59</v>
      </c>
      <c r="E105" s="3">
        <v>23</v>
      </c>
      <c r="F105" s="3" t="s">
        <v>10</v>
      </c>
      <c r="G105" s="3" t="s">
        <v>66</v>
      </c>
      <c r="H105" s="3" t="s">
        <v>36</v>
      </c>
      <c r="I105" s="3" t="s">
        <v>12</v>
      </c>
      <c r="J105" s="3">
        <v>3</v>
      </c>
      <c r="K105" s="3">
        <v>6</v>
      </c>
      <c r="L105" s="3" t="s">
        <v>15</v>
      </c>
      <c r="M105" s="5">
        <v>42601</v>
      </c>
      <c r="N105" s="3">
        <v>1.2</v>
      </c>
      <c r="O105" s="3">
        <v>1</v>
      </c>
      <c r="P105" s="11">
        <v>42901</v>
      </c>
      <c r="Q105" s="7">
        <f t="shared" si="3"/>
        <v>0.99300715601034939</v>
      </c>
      <c r="R105" s="13">
        <v>0.43099999999999999</v>
      </c>
    </row>
    <row r="106" spans="1:18" ht="17" x14ac:dyDescent="0.2">
      <c r="A106" s="1">
        <v>105</v>
      </c>
      <c r="B106" s="16">
        <f t="shared" si="2"/>
        <v>45863</v>
      </c>
      <c r="C106" s="3" t="s">
        <v>47</v>
      </c>
      <c r="D106" s="3" t="s">
        <v>59</v>
      </c>
      <c r="E106" s="3">
        <v>25</v>
      </c>
      <c r="F106" s="3" t="s">
        <v>10</v>
      </c>
      <c r="G106" s="2" t="s">
        <v>65</v>
      </c>
      <c r="H106" s="3" t="s">
        <v>37</v>
      </c>
      <c r="I106" s="3" t="s">
        <v>14</v>
      </c>
      <c r="J106" s="3">
        <v>3</v>
      </c>
      <c r="K106" s="3">
        <v>7.5</v>
      </c>
      <c r="L106" s="3" t="s">
        <v>15</v>
      </c>
      <c r="M106" s="5">
        <v>36369</v>
      </c>
      <c r="N106" s="3">
        <v>1.22</v>
      </c>
      <c r="O106" s="3">
        <v>-1</v>
      </c>
      <c r="P106" s="9">
        <v>37755</v>
      </c>
      <c r="Q106" s="7">
        <f t="shared" si="3"/>
        <v>0.96328963051251493</v>
      </c>
      <c r="R106" s="13">
        <v>0.39600000000000002</v>
      </c>
    </row>
    <row r="107" spans="1:18" ht="17" x14ac:dyDescent="0.2">
      <c r="A107" s="1">
        <v>106</v>
      </c>
      <c r="B107" s="16">
        <f t="shared" si="2"/>
        <v>45864</v>
      </c>
      <c r="C107" s="3" t="s">
        <v>48</v>
      </c>
      <c r="D107" s="3" t="s">
        <v>59</v>
      </c>
      <c r="E107" s="3">
        <v>26</v>
      </c>
      <c r="F107" s="3" t="s">
        <v>10</v>
      </c>
      <c r="G107" s="2" t="s">
        <v>65</v>
      </c>
      <c r="H107" s="3" t="s">
        <v>37</v>
      </c>
      <c r="I107" s="3" t="s">
        <v>12</v>
      </c>
      <c r="J107" s="3">
        <v>3</v>
      </c>
      <c r="K107" s="3">
        <v>7.5</v>
      </c>
      <c r="L107" s="3" t="s">
        <v>15</v>
      </c>
      <c r="M107" s="5">
        <v>36687</v>
      </c>
      <c r="N107" s="3">
        <v>1.17</v>
      </c>
      <c r="O107" s="3">
        <v>1</v>
      </c>
      <c r="P107" s="9">
        <v>37755</v>
      </c>
      <c r="Q107" s="7">
        <f t="shared" si="3"/>
        <v>0.97171235597934047</v>
      </c>
      <c r="R107" s="13">
        <v>0.46500000000000002</v>
      </c>
    </row>
    <row r="108" spans="1:18" ht="17" x14ac:dyDescent="0.2">
      <c r="A108" s="1">
        <v>107</v>
      </c>
      <c r="B108" s="16">
        <f t="shared" si="2"/>
        <v>45865</v>
      </c>
      <c r="C108" s="3" t="s">
        <v>49</v>
      </c>
      <c r="D108" s="3" t="s">
        <v>59</v>
      </c>
      <c r="E108" s="3">
        <v>27</v>
      </c>
      <c r="F108" s="3" t="s">
        <v>10</v>
      </c>
      <c r="G108" s="2" t="s">
        <v>65</v>
      </c>
      <c r="H108" s="3" t="s">
        <v>37</v>
      </c>
      <c r="I108" s="3" t="s">
        <v>12</v>
      </c>
      <c r="J108" s="3">
        <v>3</v>
      </c>
      <c r="K108" s="3">
        <v>6.5</v>
      </c>
      <c r="L108" s="3" t="s">
        <v>13</v>
      </c>
      <c r="M108" s="5">
        <v>35465</v>
      </c>
      <c r="N108" s="3">
        <v>1.18</v>
      </c>
      <c r="O108" s="3">
        <v>2</v>
      </c>
      <c r="P108" s="9">
        <v>37305</v>
      </c>
      <c r="Q108" s="7">
        <f t="shared" si="3"/>
        <v>0.95067685296877091</v>
      </c>
      <c r="R108" s="13">
        <v>0.51200000000000001</v>
      </c>
    </row>
    <row r="109" spans="1:18" x14ac:dyDescent="0.2">
      <c r="A109" s="1">
        <v>108</v>
      </c>
      <c r="B109" s="16">
        <f t="shared" si="2"/>
        <v>45866</v>
      </c>
      <c r="C109" s="3" t="s">
        <v>50</v>
      </c>
      <c r="D109" s="3" t="s">
        <v>59</v>
      </c>
      <c r="E109" s="3">
        <v>28</v>
      </c>
      <c r="F109" s="3" t="s">
        <v>10</v>
      </c>
      <c r="G109" s="3" t="s">
        <v>66</v>
      </c>
      <c r="H109" s="3" t="s">
        <v>23</v>
      </c>
      <c r="I109" s="3" t="s">
        <v>14</v>
      </c>
      <c r="J109" s="3">
        <v>3</v>
      </c>
      <c r="K109" s="3">
        <v>6.5</v>
      </c>
      <c r="L109" s="3" t="s">
        <v>15</v>
      </c>
      <c r="M109" s="5">
        <v>24443</v>
      </c>
      <c r="N109" s="3">
        <v>1.32</v>
      </c>
      <c r="O109" s="3">
        <v>-1</v>
      </c>
      <c r="P109" s="9">
        <v>39504</v>
      </c>
      <c r="Q109" s="7">
        <f t="shared" si="3"/>
        <v>0.61874746861077357</v>
      </c>
      <c r="R109" s="13">
        <v>0.48499999999999999</v>
      </c>
    </row>
    <row r="110" spans="1:18" x14ac:dyDescent="0.2">
      <c r="A110" s="1">
        <v>109</v>
      </c>
      <c r="B110" s="16">
        <f t="shared" si="2"/>
        <v>45867</v>
      </c>
      <c r="C110" s="3" t="s">
        <v>52</v>
      </c>
      <c r="D110" s="3" t="s">
        <v>59</v>
      </c>
      <c r="E110" s="3">
        <v>29</v>
      </c>
      <c r="F110" s="3" t="s">
        <v>10</v>
      </c>
      <c r="G110" s="3" t="s">
        <v>66</v>
      </c>
      <c r="H110" s="3" t="s">
        <v>23</v>
      </c>
      <c r="I110" s="3" t="s">
        <v>12</v>
      </c>
      <c r="J110" s="3">
        <v>3</v>
      </c>
      <c r="K110" s="3">
        <v>5</v>
      </c>
      <c r="L110" s="3" t="s">
        <v>15</v>
      </c>
      <c r="M110" s="5">
        <v>27460</v>
      </c>
      <c r="N110" s="3">
        <v>1.36</v>
      </c>
      <c r="O110" s="3">
        <v>1</v>
      </c>
      <c r="P110" s="9">
        <v>39504</v>
      </c>
      <c r="Q110" s="7">
        <f t="shared" si="3"/>
        <v>0.6951194815714864</v>
      </c>
      <c r="R110" s="13">
        <v>0.55200000000000005</v>
      </c>
    </row>
    <row r="111" spans="1:18" x14ac:dyDescent="0.2">
      <c r="A111" s="1">
        <v>110</v>
      </c>
      <c r="B111" s="16">
        <f t="shared" si="2"/>
        <v>45868</v>
      </c>
      <c r="C111" s="3" t="s">
        <v>51</v>
      </c>
      <c r="D111" s="3" t="s">
        <v>59</v>
      </c>
      <c r="E111" s="3">
        <v>30</v>
      </c>
      <c r="F111" s="3" t="s">
        <v>10</v>
      </c>
      <c r="G111" s="3" t="s">
        <v>66</v>
      </c>
      <c r="H111" s="3" t="s">
        <v>23</v>
      </c>
      <c r="I111" s="3" t="s">
        <v>12</v>
      </c>
      <c r="J111" s="3">
        <v>3</v>
      </c>
      <c r="K111" s="3">
        <v>5</v>
      </c>
      <c r="L111" s="3" t="s">
        <v>13</v>
      </c>
      <c r="M111" s="5">
        <v>29146</v>
      </c>
      <c r="N111" s="3">
        <v>1.38</v>
      </c>
      <c r="O111" s="3">
        <v>2</v>
      </c>
      <c r="P111" s="9">
        <v>39504</v>
      </c>
      <c r="Q111" s="7">
        <f t="shared" si="3"/>
        <v>0.73779870392871605</v>
      </c>
      <c r="R111" s="13">
        <v>0.60299999999999998</v>
      </c>
    </row>
    <row r="112" spans="1:18" ht="17" x14ac:dyDescent="0.2">
      <c r="A112" s="1">
        <v>111</v>
      </c>
      <c r="B112" s="16">
        <f t="shared" si="2"/>
        <v>45870</v>
      </c>
      <c r="C112" s="3" t="s">
        <v>47</v>
      </c>
      <c r="D112" s="3" t="s">
        <v>60</v>
      </c>
      <c r="E112" s="3">
        <v>1</v>
      </c>
      <c r="F112" s="3" t="s">
        <v>10</v>
      </c>
      <c r="G112" s="2" t="s">
        <v>65</v>
      </c>
      <c r="H112" s="3" t="s">
        <v>38</v>
      </c>
      <c r="I112" s="3" t="s">
        <v>12</v>
      </c>
      <c r="J112" s="3">
        <v>3</v>
      </c>
      <c r="K112" s="3">
        <v>4</v>
      </c>
      <c r="L112" s="3" t="s">
        <v>15</v>
      </c>
      <c r="M112" s="5">
        <v>36881</v>
      </c>
      <c r="N112" s="3">
        <v>1.47</v>
      </c>
      <c r="O112" s="3">
        <v>3</v>
      </c>
      <c r="P112" s="9">
        <v>37755</v>
      </c>
      <c r="Q112" s="7">
        <f t="shared" si="3"/>
        <v>0.97685074824526552</v>
      </c>
      <c r="R112" s="13">
        <v>0.65500000000000003</v>
      </c>
    </row>
    <row r="113" spans="1:18" ht="17" x14ac:dyDescent="0.2">
      <c r="A113" s="1">
        <v>112</v>
      </c>
      <c r="B113" s="16">
        <f t="shared" si="2"/>
        <v>45871</v>
      </c>
      <c r="C113" s="3" t="s">
        <v>48</v>
      </c>
      <c r="D113" s="3" t="s">
        <v>60</v>
      </c>
      <c r="E113" s="3">
        <v>2</v>
      </c>
      <c r="F113" s="3" t="s">
        <v>10</v>
      </c>
      <c r="G113" s="2" t="s">
        <v>65</v>
      </c>
      <c r="H113" s="3" t="s">
        <v>38</v>
      </c>
      <c r="I113" s="3" t="s">
        <v>12</v>
      </c>
      <c r="J113" s="3">
        <v>2</v>
      </c>
      <c r="K113" s="3">
        <v>4</v>
      </c>
      <c r="L113" s="3" t="s">
        <v>13</v>
      </c>
      <c r="M113" s="5">
        <v>36215</v>
      </c>
      <c r="N113" s="3">
        <v>1.58</v>
      </c>
      <c r="O113" s="3">
        <v>4</v>
      </c>
      <c r="P113" s="9">
        <v>37305</v>
      </c>
      <c r="Q113" s="7">
        <f t="shared" si="3"/>
        <v>0.97078139659563056</v>
      </c>
      <c r="R113" s="13">
        <v>0.69899999999999995</v>
      </c>
    </row>
    <row r="114" spans="1:18" ht="17" x14ac:dyDescent="0.2">
      <c r="A114" s="1">
        <v>113</v>
      </c>
      <c r="B114" s="16">
        <f t="shared" si="2"/>
        <v>45872</v>
      </c>
      <c r="C114" s="3" t="s">
        <v>49</v>
      </c>
      <c r="D114" s="3" t="s">
        <v>60</v>
      </c>
      <c r="E114" s="3">
        <v>3</v>
      </c>
      <c r="F114" s="3" t="s">
        <v>10</v>
      </c>
      <c r="G114" s="2" t="s">
        <v>65</v>
      </c>
      <c r="H114" s="3" t="s">
        <v>38</v>
      </c>
      <c r="I114" s="3" t="s">
        <v>12</v>
      </c>
      <c r="J114" s="3">
        <v>2</v>
      </c>
      <c r="K114" s="3">
        <v>3</v>
      </c>
      <c r="L114" s="3" t="s">
        <v>13</v>
      </c>
      <c r="M114" s="5">
        <v>36081</v>
      </c>
      <c r="N114" s="3">
        <v>1.5</v>
      </c>
      <c r="O114" s="3">
        <v>5</v>
      </c>
      <c r="P114" s="9">
        <v>37305</v>
      </c>
      <c r="Q114" s="7">
        <f t="shared" si="3"/>
        <v>0.96718938480096506</v>
      </c>
      <c r="R114" s="13">
        <v>0.76100000000000001</v>
      </c>
    </row>
    <row r="115" spans="1:18" ht="17" x14ac:dyDescent="0.2">
      <c r="A115" s="1">
        <v>114</v>
      </c>
      <c r="B115" s="16">
        <f t="shared" si="2"/>
        <v>45873</v>
      </c>
      <c r="C115" s="3" t="s">
        <v>50</v>
      </c>
      <c r="D115" s="3" t="s">
        <v>60</v>
      </c>
      <c r="E115" s="3">
        <v>4</v>
      </c>
      <c r="F115" s="3" t="s">
        <v>10</v>
      </c>
      <c r="G115" s="2" t="s">
        <v>65</v>
      </c>
      <c r="H115" s="3" t="s">
        <v>24</v>
      </c>
      <c r="I115" s="3" t="s">
        <v>12</v>
      </c>
      <c r="J115" s="3">
        <v>2</v>
      </c>
      <c r="K115" s="3">
        <v>3</v>
      </c>
      <c r="L115" s="3" t="s">
        <v>15</v>
      </c>
      <c r="M115" s="5">
        <v>37585</v>
      </c>
      <c r="N115" s="3">
        <v>1.47</v>
      </c>
      <c r="O115" s="3">
        <v>6</v>
      </c>
      <c r="P115" s="9">
        <v>37755</v>
      </c>
      <c r="Q115" s="7">
        <f t="shared" si="3"/>
        <v>0.99549728512779767</v>
      </c>
      <c r="R115" s="13">
        <v>0.78700000000000003</v>
      </c>
    </row>
    <row r="116" spans="1:18" ht="17" x14ac:dyDescent="0.2">
      <c r="A116" s="1">
        <v>115</v>
      </c>
      <c r="B116" s="16">
        <f t="shared" si="2"/>
        <v>45874</v>
      </c>
      <c r="C116" s="3" t="s">
        <v>52</v>
      </c>
      <c r="D116" s="3" t="s">
        <v>60</v>
      </c>
      <c r="E116" s="3">
        <v>5</v>
      </c>
      <c r="F116" s="3" t="s">
        <v>10</v>
      </c>
      <c r="G116" s="2" t="s">
        <v>65</v>
      </c>
      <c r="H116" s="3" t="s">
        <v>24</v>
      </c>
      <c r="I116" s="3" t="s">
        <v>12</v>
      </c>
      <c r="J116" s="3">
        <v>2</v>
      </c>
      <c r="K116" s="3">
        <v>3</v>
      </c>
      <c r="L116" s="3" t="s">
        <v>15</v>
      </c>
      <c r="M116" s="5">
        <v>37013</v>
      </c>
      <c r="N116" s="3">
        <v>1.44</v>
      </c>
      <c r="O116" s="3">
        <v>7</v>
      </c>
      <c r="P116" s="9">
        <v>37755</v>
      </c>
      <c r="Q116" s="7">
        <f t="shared" si="3"/>
        <v>0.98034697391074033</v>
      </c>
      <c r="R116" s="13">
        <v>0.80700000000000005</v>
      </c>
    </row>
    <row r="117" spans="1:18" ht="17" x14ac:dyDescent="0.2">
      <c r="A117" s="1">
        <v>116</v>
      </c>
      <c r="B117" s="16">
        <f t="shared" si="2"/>
        <v>45875</v>
      </c>
      <c r="C117" s="3" t="s">
        <v>51</v>
      </c>
      <c r="D117" s="3" t="s">
        <v>60</v>
      </c>
      <c r="E117" s="3">
        <v>6</v>
      </c>
      <c r="F117" s="3" t="s">
        <v>10</v>
      </c>
      <c r="G117" s="2" t="s">
        <v>65</v>
      </c>
      <c r="H117" s="3" t="s">
        <v>24</v>
      </c>
      <c r="I117" s="3" t="s">
        <v>14</v>
      </c>
      <c r="J117" s="3">
        <v>2</v>
      </c>
      <c r="K117" s="3">
        <v>4</v>
      </c>
      <c r="L117" s="3" t="s">
        <v>15</v>
      </c>
      <c r="M117" s="5">
        <v>37012</v>
      </c>
      <c r="N117" s="3">
        <v>1.39</v>
      </c>
      <c r="O117" s="3">
        <v>-1</v>
      </c>
      <c r="P117" s="9">
        <v>37755</v>
      </c>
      <c r="Q117" s="7">
        <f t="shared" si="3"/>
        <v>0.98032048735266852</v>
      </c>
      <c r="R117" s="13">
        <v>0.74399999999999999</v>
      </c>
    </row>
    <row r="118" spans="1:18" x14ac:dyDescent="0.2">
      <c r="A118" s="1">
        <v>117</v>
      </c>
      <c r="B118" s="16">
        <f t="shared" si="2"/>
        <v>45877</v>
      </c>
      <c r="C118" s="3" t="s">
        <v>47</v>
      </c>
      <c r="D118" s="3" t="s">
        <v>60</v>
      </c>
      <c r="E118" s="3">
        <v>8</v>
      </c>
      <c r="F118" s="3" t="s">
        <v>10</v>
      </c>
      <c r="G118" s="3" t="s">
        <v>66</v>
      </c>
      <c r="H118" s="3" t="s">
        <v>39</v>
      </c>
      <c r="I118" s="3" t="s">
        <v>12</v>
      </c>
      <c r="J118" s="3">
        <v>2</v>
      </c>
      <c r="K118" s="3">
        <v>3</v>
      </c>
      <c r="L118" s="3" t="s">
        <v>15</v>
      </c>
      <c r="M118" s="5">
        <v>44061</v>
      </c>
      <c r="N118" s="3">
        <v>1.38</v>
      </c>
      <c r="O118" s="3">
        <v>1</v>
      </c>
      <c r="P118" s="9">
        <v>42400</v>
      </c>
      <c r="Q118" s="7">
        <f t="shared" si="3"/>
        <v>1.0391745283018867</v>
      </c>
      <c r="R118" s="13">
        <v>0.80600000000000005</v>
      </c>
    </row>
    <row r="119" spans="1:18" x14ac:dyDescent="0.2">
      <c r="A119" s="1">
        <v>118</v>
      </c>
      <c r="B119" s="16">
        <f t="shared" si="2"/>
        <v>45878</v>
      </c>
      <c r="C119" s="3" t="s">
        <v>48</v>
      </c>
      <c r="D119" s="3" t="s">
        <v>60</v>
      </c>
      <c r="E119" s="3">
        <v>9</v>
      </c>
      <c r="F119" s="3" t="s">
        <v>10</v>
      </c>
      <c r="G119" s="3" t="s">
        <v>66</v>
      </c>
      <c r="H119" s="3" t="s">
        <v>39</v>
      </c>
      <c r="I119" s="3" t="s">
        <v>14</v>
      </c>
      <c r="J119" s="3">
        <v>2</v>
      </c>
      <c r="K119" s="3">
        <v>3</v>
      </c>
      <c r="L119" s="3" t="s">
        <v>15</v>
      </c>
      <c r="M119" s="5">
        <v>42389</v>
      </c>
      <c r="N119" s="3">
        <v>1.4</v>
      </c>
      <c r="O119" s="3">
        <v>-1</v>
      </c>
      <c r="P119" s="9">
        <v>42400</v>
      </c>
      <c r="Q119" s="7">
        <f t="shared" si="3"/>
        <v>0.99974056603773587</v>
      </c>
      <c r="R119" s="13">
        <v>0.76600000000000001</v>
      </c>
    </row>
    <row r="120" spans="1:18" x14ac:dyDescent="0.2">
      <c r="A120" s="1">
        <v>119</v>
      </c>
      <c r="B120" s="16">
        <f t="shared" si="2"/>
        <v>45879</v>
      </c>
      <c r="C120" s="3" t="s">
        <v>49</v>
      </c>
      <c r="D120" s="3" t="s">
        <v>60</v>
      </c>
      <c r="E120" s="3">
        <v>10</v>
      </c>
      <c r="F120" s="3" t="s">
        <v>10</v>
      </c>
      <c r="G120" s="3" t="s">
        <v>66</v>
      </c>
      <c r="H120" s="3" t="s">
        <v>39</v>
      </c>
      <c r="I120" s="3" t="s">
        <v>14</v>
      </c>
      <c r="J120" s="3">
        <v>2</v>
      </c>
      <c r="K120" s="3">
        <v>4</v>
      </c>
      <c r="L120" s="3" t="s">
        <v>13</v>
      </c>
      <c r="M120" s="5">
        <v>43323</v>
      </c>
      <c r="N120" s="3">
        <v>1.42</v>
      </c>
      <c r="O120" s="3">
        <v>-2</v>
      </c>
      <c r="P120" s="9">
        <v>42400</v>
      </c>
      <c r="Q120" s="7">
        <f t="shared" si="3"/>
        <v>1.0217688679245283</v>
      </c>
      <c r="R120" s="13">
        <v>0.75800000000000001</v>
      </c>
    </row>
    <row r="121" spans="1:18" x14ac:dyDescent="0.2">
      <c r="A121" s="1">
        <v>120</v>
      </c>
      <c r="B121" s="16">
        <f t="shared" si="2"/>
        <v>45880</v>
      </c>
      <c r="C121" s="3" t="s">
        <v>50</v>
      </c>
      <c r="D121" s="3" t="s">
        <v>60</v>
      </c>
      <c r="E121" s="3">
        <v>11</v>
      </c>
      <c r="F121" s="3" t="s">
        <v>10</v>
      </c>
      <c r="G121" s="3" t="s">
        <v>66</v>
      </c>
      <c r="H121" s="3" t="s">
        <v>38</v>
      </c>
      <c r="I121" s="3" t="s">
        <v>14</v>
      </c>
      <c r="J121" s="3">
        <v>2</v>
      </c>
      <c r="K121" s="3">
        <v>4.5</v>
      </c>
      <c r="L121" s="3" t="s">
        <v>15</v>
      </c>
      <c r="M121" s="5">
        <v>39330</v>
      </c>
      <c r="N121" s="3">
        <v>1.52</v>
      </c>
      <c r="O121" s="3">
        <v>-3</v>
      </c>
      <c r="P121" s="11">
        <v>41168</v>
      </c>
      <c r="Q121" s="7">
        <f t="shared" si="3"/>
        <v>0.95535367275553829</v>
      </c>
      <c r="R121" s="13">
        <v>0.69</v>
      </c>
    </row>
    <row r="122" spans="1:18" x14ac:dyDescent="0.2">
      <c r="A122" s="1">
        <v>121</v>
      </c>
      <c r="B122" s="16">
        <f t="shared" si="2"/>
        <v>45881</v>
      </c>
      <c r="C122" s="3" t="s">
        <v>52</v>
      </c>
      <c r="D122" s="3" t="s">
        <v>60</v>
      </c>
      <c r="E122" s="3">
        <v>12</v>
      </c>
      <c r="F122" s="3" t="s">
        <v>10</v>
      </c>
      <c r="G122" s="3" t="s">
        <v>66</v>
      </c>
      <c r="H122" s="3" t="s">
        <v>38</v>
      </c>
      <c r="I122" s="3" t="s">
        <v>12</v>
      </c>
      <c r="J122" s="3">
        <v>2</v>
      </c>
      <c r="K122" s="3">
        <v>4.5</v>
      </c>
      <c r="L122" s="3" t="s">
        <v>15</v>
      </c>
      <c r="M122" s="5">
        <v>34396</v>
      </c>
      <c r="N122" s="3">
        <v>1.54</v>
      </c>
      <c r="O122" s="3">
        <v>1</v>
      </c>
      <c r="P122" s="11">
        <v>41168</v>
      </c>
      <c r="Q122" s="7">
        <f t="shared" si="3"/>
        <v>0.83550330353672753</v>
      </c>
      <c r="R122" s="13">
        <v>0.752</v>
      </c>
    </row>
    <row r="123" spans="1:18" x14ac:dyDescent="0.2">
      <c r="A123" s="1">
        <v>122</v>
      </c>
      <c r="B123" s="16">
        <f t="shared" si="2"/>
        <v>45882</v>
      </c>
      <c r="C123" s="3" t="s">
        <v>51</v>
      </c>
      <c r="D123" s="3" t="s">
        <v>60</v>
      </c>
      <c r="E123" s="3">
        <v>13</v>
      </c>
      <c r="F123" s="3" t="s">
        <v>10</v>
      </c>
      <c r="G123" s="3" t="s">
        <v>66</v>
      </c>
      <c r="H123" s="3" t="s">
        <v>38</v>
      </c>
      <c r="I123" s="3" t="s">
        <v>14</v>
      </c>
      <c r="J123" s="3">
        <v>2</v>
      </c>
      <c r="K123" s="3">
        <v>4.5</v>
      </c>
      <c r="L123" s="3" t="s">
        <v>15</v>
      </c>
      <c r="M123" s="5">
        <v>31048</v>
      </c>
      <c r="N123" s="3">
        <v>1.54</v>
      </c>
      <c r="O123" s="3">
        <v>-1</v>
      </c>
      <c r="P123" s="11">
        <v>41168</v>
      </c>
      <c r="Q123" s="7">
        <f t="shared" si="3"/>
        <v>0.75417800233190824</v>
      </c>
      <c r="R123" s="13">
        <v>0.73699999999999999</v>
      </c>
    </row>
    <row r="124" spans="1:18" ht="17" x14ac:dyDescent="0.2">
      <c r="A124" s="1">
        <v>123</v>
      </c>
      <c r="B124" s="16">
        <f t="shared" si="2"/>
        <v>45884</v>
      </c>
      <c r="C124" s="3" t="s">
        <v>47</v>
      </c>
      <c r="D124" s="3" t="s">
        <v>60</v>
      </c>
      <c r="E124" s="3">
        <v>15</v>
      </c>
      <c r="F124" s="3" t="s">
        <v>10</v>
      </c>
      <c r="G124" s="2" t="s">
        <v>65</v>
      </c>
      <c r="H124" s="3" t="s">
        <v>40</v>
      </c>
      <c r="I124" s="3" t="s">
        <v>12</v>
      </c>
      <c r="J124" s="3">
        <v>2</v>
      </c>
      <c r="K124" s="3">
        <v>5</v>
      </c>
      <c r="L124" s="3" t="s">
        <v>15</v>
      </c>
      <c r="M124" s="5">
        <v>36854</v>
      </c>
      <c r="N124" s="3">
        <v>1.33</v>
      </c>
      <c r="O124" s="3">
        <v>1</v>
      </c>
      <c r="P124" s="9">
        <v>37755</v>
      </c>
      <c r="Q124" s="7">
        <f t="shared" si="3"/>
        <v>0.9761356111773275</v>
      </c>
      <c r="R124" s="13">
        <v>0.77600000000000002</v>
      </c>
    </row>
    <row r="125" spans="1:18" ht="17" x14ac:dyDescent="0.2">
      <c r="A125" s="1">
        <v>124</v>
      </c>
      <c r="B125" s="16">
        <f t="shared" si="2"/>
        <v>45885</v>
      </c>
      <c r="C125" s="3" t="s">
        <v>48</v>
      </c>
      <c r="D125" s="3" t="s">
        <v>60</v>
      </c>
      <c r="E125" s="3">
        <v>16</v>
      </c>
      <c r="F125" s="3" t="s">
        <v>10</v>
      </c>
      <c r="G125" s="2" t="s">
        <v>65</v>
      </c>
      <c r="H125" s="3" t="s">
        <v>40</v>
      </c>
      <c r="I125" s="3" t="s">
        <v>12</v>
      </c>
      <c r="J125" s="3">
        <v>2</v>
      </c>
      <c r="K125" s="3">
        <v>5</v>
      </c>
      <c r="L125" s="3" t="s">
        <v>13</v>
      </c>
      <c r="M125" s="5">
        <v>36192</v>
      </c>
      <c r="N125" s="3">
        <v>1.28</v>
      </c>
      <c r="O125" s="3">
        <v>2</v>
      </c>
      <c r="P125" s="9">
        <v>37305</v>
      </c>
      <c r="Q125" s="7">
        <f t="shared" si="3"/>
        <v>0.97016485725774027</v>
      </c>
      <c r="R125" s="13">
        <v>0.81899999999999995</v>
      </c>
    </row>
    <row r="126" spans="1:18" ht="17" x14ac:dyDescent="0.2">
      <c r="A126" s="1">
        <v>125</v>
      </c>
      <c r="B126" s="16">
        <f t="shared" si="2"/>
        <v>45886</v>
      </c>
      <c r="C126" s="3" t="s">
        <v>49</v>
      </c>
      <c r="D126" s="3" t="s">
        <v>60</v>
      </c>
      <c r="E126" s="3">
        <v>17</v>
      </c>
      <c r="F126" s="3" t="s">
        <v>10</v>
      </c>
      <c r="G126" s="2" t="s">
        <v>65</v>
      </c>
      <c r="H126" s="3" t="s">
        <v>40</v>
      </c>
      <c r="I126" s="3" t="s">
        <v>14</v>
      </c>
      <c r="J126" s="3">
        <v>2</v>
      </c>
      <c r="K126" s="3">
        <v>5</v>
      </c>
      <c r="L126" s="3" t="s">
        <v>13</v>
      </c>
      <c r="M126" s="5">
        <v>35931</v>
      </c>
      <c r="N126" s="3">
        <v>1.22</v>
      </c>
      <c r="O126" s="3">
        <v>-1</v>
      </c>
      <c r="P126" s="9">
        <v>37305</v>
      </c>
      <c r="Q126" s="7">
        <f t="shared" si="3"/>
        <v>0.96316847607559308</v>
      </c>
      <c r="R126" s="13">
        <v>0.78700000000000003</v>
      </c>
    </row>
    <row r="127" spans="1:18" ht="17" x14ac:dyDescent="0.2">
      <c r="A127" s="1">
        <v>126</v>
      </c>
      <c r="B127" s="16">
        <f t="shared" si="2"/>
        <v>45887</v>
      </c>
      <c r="C127" s="3" t="s">
        <v>50</v>
      </c>
      <c r="D127" s="3" t="s">
        <v>60</v>
      </c>
      <c r="E127" s="3">
        <v>18</v>
      </c>
      <c r="F127" s="3" t="s">
        <v>10</v>
      </c>
      <c r="G127" s="2" t="s">
        <v>65</v>
      </c>
      <c r="H127" s="3" t="s">
        <v>16</v>
      </c>
      <c r="I127" s="3" t="s">
        <v>14</v>
      </c>
      <c r="J127" s="3">
        <v>2</v>
      </c>
      <c r="K127" s="3">
        <v>5</v>
      </c>
      <c r="L127" s="3" t="s">
        <v>15</v>
      </c>
      <c r="M127" s="5">
        <v>36961</v>
      </c>
      <c r="N127" s="3">
        <v>1.31</v>
      </c>
      <c r="O127" s="3">
        <v>-2</v>
      </c>
      <c r="P127" s="9">
        <v>37755</v>
      </c>
      <c r="Q127" s="7">
        <f t="shared" si="3"/>
        <v>0.97896967289100778</v>
      </c>
      <c r="R127" s="13">
        <v>0.746</v>
      </c>
    </row>
    <row r="128" spans="1:18" ht="17" x14ac:dyDescent="0.2">
      <c r="A128" s="1">
        <v>127</v>
      </c>
      <c r="B128" s="16">
        <f t="shared" si="2"/>
        <v>45888</v>
      </c>
      <c r="C128" s="3" t="s">
        <v>52</v>
      </c>
      <c r="D128" s="3" t="s">
        <v>60</v>
      </c>
      <c r="E128" s="3">
        <v>19</v>
      </c>
      <c r="F128" s="3" t="s">
        <v>10</v>
      </c>
      <c r="G128" s="2" t="s">
        <v>65</v>
      </c>
      <c r="H128" s="3" t="s">
        <v>16</v>
      </c>
      <c r="I128" s="3" t="s">
        <v>14</v>
      </c>
      <c r="J128" s="3">
        <v>3</v>
      </c>
      <c r="K128" s="3">
        <v>6</v>
      </c>
      <c r="L128" s="3" t="s">
        <v>15</v>
      </c>
      <c r="M128" s="5">
        <v>37435</v>
      </c>
      <c r="N128" s="3">
        <v>1.37</v>
      </c>
      <c r="O128" s="3">
        <v>-3</v>
      </c>
      <c r="P128" s="9">
        <v>37755</v>
      </c>
      <c r="Q128" s="7">
        <f t="shared" si="3"/>
        <v>0.99152430141703085</v>
      </c>
      <c r="R128" s="13">
        <v>0.71599999999999997</v>
      </c>
    </row>
    <row r="129" spans="1:18" x14ac:dyDescent="0.2">
      <c r="A129" s="1">
        <v>128</v>
      </c>
      <c r="B129" s="16">
        <f t="shared" si="2"/>
        <v>45890</v>
      </c>
      <c r="C129" s="3" t="s">
        <v>46</v>
      </c>
      <c r="D129" s="3" t="s">
        <v>60</v>
      </c>
      <c r="E129" s="3">
        <v>21</v>
      </c>
      <c r="F129" s="3" t="s">
        <v>10</v>
      </c>
      <c r="G129" s="3" t="s">
        <v>66</v>
      </c>
      <c r="H129" s="3" t="s">
        <v>30</v>
      </c>
      <c r="I129" s="3" t="s">
        <v>12</v>
      </c>
      <c r="J129" s="3">
        <v>3</v>
      </c>
      <c r="K129" s="3">
        <v>5</v>
      </c>
      <c r="L129" s="3" t="s">
        <v>15</v>
      </c>
      <c r="M129" s="5">
        <v>47036</v>
      </c>
      <c r="N129" s="3">
        <v>1.54</v>
      </c>
      <c r="O129" s="3">
        <v>1</v>
      </c>
      <c r="P129" s="11">
        <v>52325</v>
      </c>
      <c r="Q129" s="7">
        <f t="shared" si="3"/>
        <v>0.89892021022455804</v>
      </c>
      <c r="R129" s="13">
        <v>0.79100000000000004</v>
      </c>
    </row>
    <row r="130" spans="1:18" x14ac:dyDescent="0.2">
      <c r="A130" s="1">
        <v>129</v>
      </c>
      <c r="B130" s="16">
        <f t="shared" si="2"/>
        <v>45891</v>
      </c>
      <c r="C130" s="3" t="s">
        <v>47</v>
      </c>
      <c r="D130" s="3" t="s">
        <v>60</v>
      </c>
      <c r="E130" s="3">
        <v>22</v>
      </c>
      <c r="F130" s="3" t="s">
        <v>10</v>
      </c>
      <c r="G130" s="3" t="s">
        <v>66</v>
      </c>
      <c r="H130" s="3" t="s">
        <v>30</v>
      </c>
      <c r="I130" s="3" t="s">
        <v>12</v>
      </c>
      <c r="J130" s="3">
        <v>2</v>
      </c>
      <c r="K130" s="3">
        <v>5</v>
      </c>
      <c r="L130" s="3" t="s">
        <v>15</v>
      </c>
      <c r="M130" s="5">
        <v>46064</v>
      </c>
      <c r="N130" s="3">
        <v>1.5</v>
      </c>
      <c r="O130" s="3">
        <v>2</v>
      </c>
      <c r="P130" s="11">
        <v>52325</v>
      </c>
      <c r="Q130" s="7">
        <f t="shared" si="3"/>
        <v>0.88034400382226474</v>
      </c>
      <c r="R130" s="13">
        <v>0.85</v>
      </c>
    </row>
    <row r="131" spans="1:18" x14ac:dyDescent="0.2">
      <c r="A131" s="1">
        <v>130</v>
      </c>
      <c r="B131" s="16">
        <f t="shared" ref="B131:B163" si="4">DATE(2025,MONTH(1&amp;D131),E131)</f>
        <v>45892</v>
      </c>
      <c r="C131" s="3" t="s">
        <v>48</v>
      </c>
      <c r="D131" s="3" t="s">
        <v>60</v>
      </c>
      <c r="E131" s="3">
        <v>23</v>
      </c>
      <c r="F131" s="3" t="s">
        <v>10</v>
      </c>
      <c r="G131" s="3" t="s">
        <v>66</v>
      </c>
      <c r="H131" s="3" t="s">
        <v>30</v>
      </c>
      <c r="I131" s="3" t="s">
        <v>12</v>
      </c>
      <c r="J131" s="3">
        <v>2</v>
      </c>
      <c r="K131" s="3">
        <v>5</v>
      </c>
      <c r="L131" s="3" t="s">
        <v>13</v>
      </c>
      <c r="M131" s="5">
        <v>45512</v>
      </c>
      <c r="N131" s="3">
        <v>1.46</v>
      </c>
      <c r="O131" s="3">
        <v>3</v>
      </c>
      <c r="P131" s="11">
        <v>52325</v>
      </c>
      <c r="Q131" s="7">
        <f t="shared" ref="Q131:Q163" si="5">M131/P131</f>
        <v>0.86979455327281419</v>
      </c>
      <c r="R131" s="13">
        <v>0.90400000000000003</v>
      </c>
    </row>
    <row r="132" spans="1:18" x14ac:dyDescent="0.2">
      <c r="A132" s="1">
        <v>131</v>
      </c>
      <c r="B132" s="16">
        <f t="shared" si="4"/>
        <v>45893</v>
      </c>
      <c r="C132" s="3" t="s">
        <v>49</v>
      </c>
      <c r="D132" s="3" t="s">
        <v>60</v>
      </c>
      <c r="E132" s="3">
        <v>24</v>
      </c>
      <c r="F132" s="3" t="s">
        <v>10</v>
      </c>
      <c r="G132" s="3" t="s">
        <v>66</v>
      </c>
      <c r="H132" s="3" t="s">
        <v>30</v>
      </c>
      <c r="I132" s="3" t="s">
        <v>14</v>
      </c>
      <c r="J132" s="3">
        <v>2</v>
      </c>
      <c r="K132" s="3">
        <v>5</v>
      </c>
      <c r="L132" s="3" t="s">
        <v>15</v>
      </c>
      <c r="M132" s="5">
        <v>44640</v>
      </c>
      <c r="N132" s="3">
        <v>1.24</v>
      </c>
      <c r="O132" s="3">
        <v>-1</v>
      </c>
      <c r="P132" s="11">
        <v>52325</v>
      </c>
      <c r="Q132" s="7">
        <f t="shared" si="5"/>
        <v>0.85312947921643578</v>
      </c>
      <c r="R132" s="13">
        <v>0.86399999999999999</v>
      </c>
    </row>
    <row r="133" spans="1:18" x14ac:dyDescent="0.2">
      <c r="A133" s="1">
        <v>132</v>
      </c>
      <c r="B133" s="16">
        <f t="shared" si="4"/>
        <v>45894</v>
      </c>
      <c r="C133" s="3" t="s">
        <v>50</v>
      </c>
      <c r="D133" s="3" t="s">
        <v>60</v>
      </c>
      <c r="E133" s="3">
        <v>25</v>
      </c>
      <c r="F133" s="3" t="s">
        <v>10</v>
      </c>
      <c r="G133" s="3" t="s">
        <v>66</v>
      </c>
      <c r="H133" s="3" t="s">
        <v>16</v>
      </c>
      <c r="I133" s="3" t="s">
        <v>12</v>
      </c>
      <c r="J133" s="3">
        <v>2</v>
      </c>
      <c r="K133" s="3">
        <v>5</v>
      </c>
      <c r="L133" s="3" t="s">
        <v>15</v>
      </c>
      <c r="M133" s="5">
        <v>15740</v>
      </c>
      <c r="N133" s="3">
        <v>1.21</v>
      </c>
      <c r="O133" s="3">
        <v>1</v>
      </c>
      <c r="P133" s="11">
        <v>48187</v>
      </c>
      <c r="Q133" s="7">
        <f t="shared" si="5"/>
        <v>0.32664411563284701</v>
      </c>
      <c r="R133" s="13">
        <v>0.91600000000000004</v>
      </c>
    </row>
    <row r="134" spans="1:18" x14ac:dyDescent="0.2">
      <c r="A134" s="1">
        <v>133</v>
      </c>
      <c r="B134" s="16">
        <f t="shared" si="4"/>
        <v>45895</v>
      </c>
      <c r="C134" s="3" t="s">
        <v>52</v>
      </c>
      <c r="D134" s="3" t="s">
        <v>60</v>
      </c>
      <c r="E134" s="3">
        <v>26</v>
      </c>
      <c r="F134" s="3" t="s">
        <v>10</v>
      </c>
      <c r="G134" s="3" t="s">
        <v>66</v>
      </c>
      <c r="H134" s="3" t="s">
        <v>16</v>
      </c>
      <c r="I134" s="3" t="s">
        <v>12</v>
      </c>
      <c r="J134" s="3">
        <v>2</v>
      </c>
      <c r="K134" s="3">
        <v>4</v>
      </c>
      <c r="L134" s="3" t="s">
        <v>15</v>
      </c>
      <c r="M134" s="5">
        <v>14776</v>
      </c>
      <c r="N134" s="3">
        <v>1.0900000000000001</v>
      </c>
      <c r="O134" s="3">
        <v>2</v>
      </c>
      <c r="P134" s="11">
        <v>48187</v>
      </c>
      <c r="Q134" s="7">
        <f t="shared" si="5"/>
        <v>0.30663871998671843</v>
      </c>
      <c r="R134" s="13">
        <v>0.93700000000000006</v>
      </c>
    </row>
    <row r="135" spans="1:18" x14ac:dyDescent="0.2">
      <c r="A135" s="1">
        <v>134</v>
      </c>
      <c r="B135" s="16">
        <f t="shared" si="4"/>
        <v>45896</v>
      </c>
      <c r="C135" s="3" t="s">
        <v>51</v>
      </c>
      <c r="D135" s="3" t="s">
        <v>60</v>
      </c>
      <c r="E135" s="3">
        <v>27</v>
      </c>
      <c r="F135" s="3" t="s">
        <v>10</v>
      </c>
      <c r="G135" s="3" t="s">
        <v>66</v>
      </c>
      <c r="H135" s="3" t="s">
        <v>16</v>
      </c>
      <c r="I135" s="3" t="s">
        <v>12</v>
      </c>
      <c r="J135" s="3">
        <v>2</v>
      </c>
      <c r="K135" s="3">
        <v>4</v>
      </c>
      <c r="L135" s="3" t="s">
        <v>15</v>
      </c>
      <c r="M135" s="5">
        <v>16790</v>
      </c>
      <c r="N135" s="3">
        <v>1.1200000000000001</v>
      </c>
      <c r="O135" s="3">
        <v>3</v>
      </c>
      <c r="P135" s="11">
        <v>48187</v>
      </c>
      <c r="Q135" s="7">
        <f t="shared" si="5"/>
        <v>0.34843422499844356</v>
      </c>
      <c r="R135" s="13">
        <v>0.94199999999999995</v>
      </c>
    </row>
    <row r="136" spans="1:18" x14ac:dyDescent="0.2">
      <c r="A136" s="1">
        <v>135</v>
      </c>
      <c r="B136" s="16">
        <f t="shared" si="4"/>
        <v>45897</v>
      </c>
      <c r="C136" s="3" t="s">
        <v>46</v>
      </c>
      <c r="D136" s="3" t="s">
        <v>60</v>
      </c>
      <c r="E136" s="3">
        <v>28</v>
      </c>
      <c r="F136" s="3" t="s">
        <v>10</v>
      </c>
      <c r="G136" s="3" t="s">
        <v>66</v>
      </c>
      <c r="H136" s="3" t="s">
        <v>16</v>
      </c>
      <c r="I136" s="3" t="s">
        <v>12</v>
      </c>
      <c r="J136" s="3">
        <v>2</v>
      </c>
      <c r="K136" s="3">
        <v>3.5</v>
      </c>
      <c r="L136" s="3" t="s">
        <v>13</v>
      </c>
      <c r="M136" s="5">
        <v>15374</v>
      </c>
      <c r="N136" s="3">
        <v>1.17</v>
      </c>
      <c r="O136" s="3">
        <v>4</v>
      </c>
      <c r="P136" s="11">
        <v>48187</v>
      </c>
      <c r="Q136" s="7">
        <f t="shared" si="5"/>
        <v>0.31904870608255337</v>
      </c>
      <c r="R136" s="13">
        <v>0.96199999999999997</v>
      </c>
    </row>
    <row r="137" spans="1:18" ht="17" x14ac:dyDescent="0.2">
      <c r="A137" s="1">
        <v>136</v>
      </c>
      <c r="B137" s="16">
        <f t="shared" si="4"/>
        <v>45898</v>
      </c>
      <c r="C137" s="3" t="s">
        <v>47</v>
      </c>
      <c r="D137" s="3" t="s">
        <v>60</v>
      </c>
      <c r="E137" s="3">
        <v>29</v>
      </c>
      <c r="F137" s="3" t="s">
        <v>10</v>
      </c>
      <c r="G137" s="2" t="s">
        <v>65</v>
      </c>
      <c r="H137" s="3" t="s">
        <v>41</v>
      </c>
      <c r="I137" s="3" t="s">
        <v>14</v>
      </c>
      <c r="J137" s="3">
        <v>3</v>
      </c>
      <c r="K137" s="3">
        <v>3.5</v>
      </c>
      <c r="L137" s="3" t="s">
        <v>15</v>
      </c>
      <c r="M137" s="5">
        <v>36344</v>
      </c>
      <c r="N137" s="3">
        <v>1.17</v>
      </c>
      <c r="O137" s="3">
        <v>-1</v>
      </c>
      <c r="P137" s="9">
        <v>37755</v>
      </c>
      <c r="Q137" s="7">
        <f t="shared" si="5"/>
        <v>0.9626274665607204</v>
      </c>
      <c r="R137" s="13">
        <v>0.94399999999999995</v>
      </c>
    </row>
    <row r="138" spans="1:18" ht="17" x14ac:dyDescent="0.2">
      <c r="A138" s="1">
        <v>137</v>
      </c>
      <c r="B138" s="16">
        <f t="shared" si="4"/>
        <v>45899</v>
      </c>
      <c r="C138" s="3" t="s">
        <v>48</v>
      </c>
      <c r="D138" s="3" t="s">
        <v>60</v>
      </c>
      <c r="E138" s="3">
        <v>30</v>
      </c>
      <c r="F138" s="3" t="s">
        <v>10</v>
      </c>
      <c r="G138" s="2" t="s">
        <v>65</v>
      </c>
      <c r="H138" s="3" t="s">
        <v>41</v>
      </c>
      <c r="I138" s="3" t="s">
        <v>14</v>
      </c>
      <c r="J138" s="3">
        <v>3</v>
      </c>
      <c r="K138" s="3">
        <v>3.5</v>
      </c>
      <c r="L138" s="3" t="s">
        <v>13</v>
      </c>
      <c r="M138" s="5">
        <v>36391</v>
      </c>
      <c r="N138" s="3">
        <v>1.24</v>
      </c>
      <c r="O138" s="3">
        <v>-2</v>
      </c>
      <c r="P138" s="9">
        <v>37305</v>
      </c>
      <c r="Q138" s="7">
        <f t="shared" si="5"/>
        <v>0.97549926283340038</v>
      </c>
      <c r="R138" s="13">
        <v>0.91700000000000004</v>
      </c>
    </row>
    <row r="139" spans="1:18" ht="17" x14ac:dyDescent="0.2">
      <c r="A139" s="1">
        <v>138</v>
      </c>
      <c r="B139" s="16">
        <f t="shared" si="4"/>
        <v>45900</v>
      </c>
      <c r="C139" s="3" t="s">
        <v>49</v>
      </c>
      <c r="D139" s="3" t="s">
        <v>60</v>
      </c>
      <c r="E139" s="3">
        <v>31</v>
      </c>
      <c r="F139" s="3" t="s">
        <v>10</v>
      </c>
      <c r="G139" s="2" t="s">
        <v>65</v>
      </c>
      <c r="H139" s="3" t="s">
        <v>41</v>
      </c>
      <c r="I139" s="3" t="s">
        <v>12</v>
      </c>
      <c r="J139" s="3">
        <v>3</v>
      </c>
      <c r="K139" s="3">
        <v>3.5</v>
      </c>
      <c r="L139" s="3" t="s">
        <v>13</v>
      </c>
      <c r="M139" s="5">
        <v>36583</v>
      </c>
      <c r="N139" s="3">
        <v>1.34</v>
      </c>
      <c r="O139" s="3">
        <v>1</v>
      </c>
      <c r="P139" s="9">
        <v>37305</v>
      </c>
      <c r="Q139" s="7">
        <f t="shared" si="5"/>
        <v>0.98064602600187645</v>
      </c>
      <c r="R139" s="13">
        <v>0.94099999999999995</v>
      </c>
    </row>
    <row r="140" spans="1:18" ht="17" x14ac:dyDescent="0.2">
      <c r="A140" s="1">
        <v>139</v>
      </c>
      <c r="B140" s="16">
        <f t="shared" si="4"/>
        <v>45901</v>
      </c>
      <c r="C140" s="3" t="s">
        <v>50</v>
      </c>
      <c r="D140" s="3" t="s">
        <v>61</v>
      </c>
      <c r="E140" s="3">
        <v>1</v>
      </c>
      <c r="F140" s="3" t="s">
        <v>10</v>
      </c>
      <c r="G140" s="2" t="s">
        <v>65</v>
      </c>
      <c r="H140" s="3" t="s">
        <v>22</v>
      </c>
      <c r="I140" s="3" t="s">
        <v>12</v>
      </c>
      <c r="J140" s="3">
        <v>2</v>
      </c>
      <c r="K140" s="3">
        <v>2.5</v>
      </c>
      <c r="L140" s="3" t="s">
        <v>13</v>
      </c>
      <c r="M140" s="5">
        <v>36021</v>
      </c>
      <c r="N140" s="3">
        <v>1.32</v>
      </c>
      <c r="O140" s="3">
        <v>2</v>
      </c>
      <c r="P140" s="9">
        <v>37305</v>
      </c>
      <c r="Q140" s="7">
        <f t="shared" si="5"/>
        <v>0.96558102131081625</v>
      </c>
      <c r="R140" s="13">
        <v>0.95899999999999996</v>
      </c>
    </row>
    <row r="141" spans="1:18" ht="17" x14ac:dyDescent="0.2">
      <c r="A141" s="1">
        <v>140</v>
      </c>
      <c r="B141" s="16">
        <f t="shared" si="4"/>
        <v>45902</v>
      </c>
      <c r="C141" s="3" t="s">
        <v>52</v>
      </c>
      <c r="D141" s="3" t="s">
        <v>61</v>
      </c>
      <c r="E141" s="3">
        <v>2</v>
      </c>
      <c r="F141" s="3" t="s">
        <v>10</v>
      </c>
      <c r="G141" s="2" t="s">
        <v>65</v>
      </c>
      <c r="H141" s="3" t="s">
        <v>22</v>
      </c>
      <c r="I141" s="3" t="s">
        <v>12</v>
      </c>
      <c r="J141" s="3">
        <v>2</v>
      </c>
      <c r="K141" s="3">
        <v>2.5</v>
      </c>
      <c r="L141" s="3" t="s">
        <v>15</v>
      </c>
      <c r="M141" s="5">
        <v>34902</v>
      </c>
      <c r="N141" s="3">
        <v>1.37</v>
      </c>
      <c r="O141" s="3">
        <v>3</v>
      </c>
      <c r="P141" s="9">
        <v>37755</v>
      </c>
      <c r="Q141" s="7">
        <f t="shared" si="5"/>
        <v>0.92443384982121568</v>
      </c>
      <c r="R141" s="13">
        <v>0.98199999999999998</v>
      </c>
    </row>
    <row r="142" spans="1:18" ht="17" x14ac:dyDescent="0.2">
      <c r="A142" s="1">
        <v>141</v>
      </c>
      <c r="B142" s="16">
        <f t="shared" si="4"/>
        <v>45903</v>
      </c>
      <c r="C142" s="3" t="s">
        <v>51</v>
      </c>
      <c r="D142" s="3" t="s">
        <v>61</v>
      </c>
      <c r="E142" s="3">
        <v>3</v>
      </c>
      <c r="F142" s="3" t="s">
        <v>10</v>
      </c>
      <c r="G142" s="2" t="s">
        <v>65</v>
      </c>
      <c r="H142" s="3" t="s">
        <v>22</v>
      </c>
      <c r="I142" s="3" t="s">
        <v>14</v>
      </c>
      <c r="J142" s="3">
        <v>2</v>
      </c>
      <c r="K142" s="3">
        <v>3.5</v>
      </c>
      <c r="L142" s="3" t="s">
        <v>15</v>
      </c>
      <c r="M142" s="5">
        <v>36658</v>
      </c>
      <c r="N142" s="3">
        <v>1.2</v>
      </c>
      <c r="O142" s="3">
        <v>-1</v>
      </c>
      <c r="P142" s="9">
        <v>37755</v>
      </c>
      <c r="Q142" s="7">
        <f t="shared" si="5"/>
        <v>0.97094424579525895</v>
      </c>
      <c r="R142" s="13">
        <v>0.97099999999999997</v>
      </c>
    </row>
    <row r="143" spans="1:18" x14ac:dyDescent="0.2">
      <c r="A143" s="1">
        <v>142</v>
      </c>
      <c r="B143" s="16">
        <f t="shared" si="4"/>
        <v>45905</v>
      </c>
      <c r="C143" s="3" t="s">
        <v>47</v>
      </c>
      <c r="D143" s="3" t="s">
        <v>61</v>
      </c>
      <c r="E143" s="3">
        <v>5</v>
      </c>
      <c r="F143" s="3" t="s">
        <v>10</v>
      </c>
      <c r="G143" s="3" t="s">
        <v>66</v>
      </c>
      <c r="H143" s="3" t="s">
        <v>42</v>
      </c>
      <c r="I143" s="3" t="s">
        <v>14</v>
      </c>
      <c r="J143" s="3">
        <v>3</v>
      </c>
      <c r="K143" s="3">
        <v>4.5</v>
      </c>
      <c r="L143" s="3" t="s">
        <v>15</v>
      </c>
      <c r="M143" s="5">
        <v>39126</v>
      </c>
      <c r="N143" s="3">
        <v>1.02</v>
      </c>
      <c r="O143" s="3">
        <v>-2</v>
      </c>
      <c r="P143" s="11">
        <v>48330</v>
      </c>
      <c r="Q143" s="7">
        <f t="shared" si="5"/>
        <v>0.80955927995034138</v>
      </c>
      <c r="R143" s="13">
        <v>0.96199999999999997</v>
      </c>
    </row>
    <row r="144" spans="1:18" x14ac:dyDescent="0.2">
      <c r="A144" s="1">
        <v>143</v>
      </c>
      <c r="B144" s="16">
        <f t="shared" si="4"/>
        <v>45906</v>
      </c>
      <c r="C144" s="3" t="s">
        <v>48</v>
      </c>
      <c r="D144" s="3" t="s">
        <v>61</v>
      </c>
      <c r="E144" s="3">
        <v>6</v>
      </c>
      <c r="F144" s="3" t="s">
        <v>10</v>
      </c>
      <c r="G144" s="3" t="s">
        <v>66</v>
      </c>
      <c r="H144" s="3" t="s">
        <v>42</v>
      </c>
      <c r="I144" s="3" t="s">
        <v>14</v>
      </c>
      <c r="J144" s="3">
        <v>3</v>
      </c>
      <c r="K144" s="3">
        <v>4.5</v>
      </c>
      <c r="L144" s="3" t="s">
        <v>15</v>
      </c>
      <c r="M144" s="5">
        <v>35679</v>
      </c>
      <c r="N144" s="3">
        <v>0.93</v>
      </c>
      <c r="O144" s="3">
        <v>-3</v>
      </c>
      <c r="P144" s="11">
        <v>48330</v>
      </c>
      <c r="Q144" s="7">
        <f t="shared" si="5"/>
        <v>0.73823711980136564</v>
      </c>
      <c r="R144" s="13">
        <v>0.93700000000000006</v>
      </c>
    </row>
    <row r="145" spans="1:18" x14ac:dyDescent="0.2">
      <c r="A145" s="1">
        <v>144</v>
      </c>
      <c r="B145" s="16">
        <f t="shared" si="4"/>
        <v>45907</v>
      </c>
      <c r="C145" s="3" t="s">
        <v>49</v>
      </c>
      <c r="D145" s="3" t="s">
        <v>61</v>
      </c>
      <c r="E145" s="3">
        <v>7</v>
      </c>
      <c r="F145" s="3" t="s">
        <v>10</v>
      </c>
      <c r="G145" s="3" t="s">
        <v>66</v>
      </c>
      <c r="H145" s="3" t="s">
        <v>42</v>
      </c>
      <c r="I145" s="3" t="s">
        <v>12</v>
      </c>
      <c r="J145" s="3">
        <v>3</v>
      </c>
      <c r="K145" s="3">
        <v>3.5</v>
      </c>
      <c r="L145" s="3" t="s">
        <v>13</v>
      </c>
      <c r="M145" s="5">
        <v>31346</v>
      </c>
      <c r="N145" s="3">
        <v>0.97</v>
      </c>
      <c r="O145" s="3">
        <v>1</v>
      </c>
      <c r="P145" s="11">
        <v>48330</v>
      </c>
      <c r="Q145" s="7">
        <f t="shared" si="5"/>
        <v>0.64858266087316363</v>
      </c>
      <c r="R145" s="13">
        <v>0.95499999999999996</v>
      </c>
    </row>
    <row r="146" spans="1:18" x14ac:dyDescent="0.2">
      <c r="A146" s="1">
        <v>145</v>
      </c>
      <c r="B146" s="16">
        <f t="shared" si="4"/>
        <v>45908</v>
      </c>
      <c r="C146" s="3" t="s">
        <v>50</v>
      </c>
      <c r="D146" s="3" t="s">
        <v>61</v>
      </c>
      <c r="E146" s="3">
        <v>8</v>
      </c>
      <c r="F146" s="3" t="s">
        <v>10</v>
      </c>
      <c r="G146" s="3" t="s">
        <v>66</v>
      </c>
      <c r="H146" s="3" t="s">
        <v>43</v>
      </c>
      <c r="I146" s="3" t="s">
        <v>12</v>
      </c>
      <c r="J146" s="3">
        <v>3</v>
      </c>
      <c r="K146" s="3">
        <v>3</v>
      </c>
      <c r="L146" s="3" t="s">
        <v>15</v>
      </c>
      <c r="M146" s="5">
        <v>10079</v>
      </c>
      <c r="N146" s="3">
        <v>1.07</v>
      </c>
      <c r="O146" s="3">
        <v>2</v>
      </c>
      <c r="P146" s="11">
        <v>14014</v>
      </c>
      <c r="Q146" s="7">
        <f t="shared" si="5"/>
        <v>0.71920936206650488</v>
      </c>
      <c r="R146" s="13">
        <v>0.96599999999999997</v>
      </c>
    </row>
    <row r="147" spans="1:18" x14ac:dyDescent="0.2">
      <c r="A147" s="1">
        <v>146</v>
      </c>
      <c r="B147" s="16">
        <f t="shared" si="4"/>
        <v>45909</v>
      </c>
      <c r="C147" s="3" t="s">
        <v>52</v>
      </c>
      <c r="D147" s="3" t="s">
        <v>61</v>
      </c>
      <c r="E147" s="3">
        <v>9</v>
      </c>
      <c r="F147" s="3" t="s">
        <v>10</v>
      </c>
      <c r="G147" s="3" t="s">
        <v>66</v>
      </c>
      <c r="H147" s="3" t="s">
        <v>43</v>
      </c>
      <c r="I147" s="3" t="s">
        <v>12</v>
      </c>
      <c r="J147" s="3">
        <v>2</v>
      </c>
      <c r="K147" s="3">
        <v>3</v>
      </c>
      <c r="L147" s="3" t="s">
        <v>15</v>
      </c>
      <c r="M147" s="5">
        <v>10066</v>
      </c>
      <c r="N147" s="3">
        <v>1.1499999999999999</v>
      </c>
      <c r="O147" s="3">
        <v>3</v>
      </c>
      <c r="P147" s="11">
        <v>14014</v>
      </c>
      <c r="Q147" s="7">
        <f t="shared" si="5"/>
        <v>0.71828171828171827</v>
      </c>
      <c r="R147" s="13">
        <v>0.97599999999999998</v>
      </c>
    </row>
    <row r="148" spans="1:18" x14ac:dyDescent="0.2">
      <c r="A148" s="1">
        <v>147</v>
      </c>
      <c r="B148" s="16">
        <f t="shared" si="4"/>
        <v>45910</v>
      </c>
      <c r="C148" s="3" t="s">
        <v>51</v>
      </c>
      <c r="D148" s="3" t="s">
        <v>61</v>
      </c>
      <c r="E148" s="3">
        <v>10</v>
      </c>
      <c r="F148" s="3" t="s">
        <v>10</v>
      </c>
      <c r="G148" s="3" t="s">
        <v>66</v>
      </c>
      <c r="H148" s="3" t="s">
        <v>43</v>
      </c>
      <c r="I148" s="3" t="s">
        <v>14</v>
      </c>
      <c r="J148" s="3">
        <v>2</v>
      </c>
      <c r="K148" s="3">
        <v>3</v>
      </c>
      <c r="L148" s="3" t="s">
        <v>13</v>
      </c>
      <c r="M148" s="5">
        <v>9634</v>
      </c>
      <c r="N148" s="3">
        <v>1.1299999999999999</v>
      </c>
      <c r="O148" s="3">
        <v>-1</v>
      </c>
      <c r="P148" s="11">
        <v>14014</v>
      </c>
      <c r="Q148" s="7">
        <f t="shared" si="5"/>
        <v>0.68745540174111608</v>
      </c>
      <c r="R148" s="13">
        <v>0.95299999999999996</v>
      </c>
    </row>
    <row r="149" spans="1:18" ht="17" x14ac:dyDescent="0.2">
      <c r="A149" s="1">
        <v>148</v>
      </c>
      <c r="B149" s="16">
        <f t="shared" si="4"/>
        <v>45912</v>
      </c>
      <c r="C149" s="3" t="s">
        <v>47</v>
      </c>
      <c r="D149" s="3" t="s">
        <v>61</v>
      </c>
      <c r="E149" s="3">
        <v>12</v>
      </c>
      <c r="F149" s="3" t="s">
        <v>10</v>
      </c>
      <c r="G149" s="2" t="s">
        <v>65</v>
      </c>
      <c r="H149" s="3" t="s">
        <v>30</v>
      </c>
      <c r="I149" s="3" t="s">
        <v>14</v>
      </c>
      <c r="J149" s="3">
        <v>3</v>
      </c>
      <c r="K149" s="3">
        <v>4.5</v>
      </c>
      <c r="L149" s="3" t="s">
        <v>15</v>
      </c>
      <c r="M149" s="5">
        <v>36760</v>
      </c>
      <c r="N149" s="3">
        <v>1.43</v>
      </c>
      <c r="O149" s="3">
        <v>-2</v>
      </c>
      <c r="P149" s="9">
        <v>37755</v>
      </c>
      <c r="Q149" s="7">
        <f t="shared" si="5"/>
        <v>0.97364587471858033</v>
      </c>
      <c r="R149" s="13">
        <v>0.90600000000000003</v>
      </c>
    </row>
    <row r="150" spans="1:18" ht="17" x14ac:dyDescent="0.2">
      <c r="A150" s="1">
        <v>149</v>
      </c>
      <c r="B150" s="16">
        <f t="shared" si="4"/>
        <v>45913</v>
      </c>
      <c r="C150" s="3" t="s">
        <v>48</v>
      </c>
      <c r="D150" s="3" t="s">
        <v>61</v>
      </c>
      <c r="E150" s="3">
        <v>13</v>
      </c>
      <c r="F150" s="3" t="s">
        <v>10</v>
      </c>
      <c r="G150" s="2" t="s">
        <v>65</v>
      </c>
      <c r="H150" s="3" t="s">
        <v>30</v>
      </c>
      <c r="I150" s="3" t="s">
        <v>14</v>
      </c>
      <c r="J150" s="3">
        <v>3</v>
      </c>
      <c r="K150" s="3">
        <v>5.5</v>
      </c>
      <c r="L150" s="3" t="s">
        <v>13</v>
      </c>
      <c r="M150" s="5">
        <v>36315</v>
      </c>
      <c r="N150" s="3">
        <v>1.48</v>
      </c>
      <c r="O150" s="3">
        <v>-3</v>
      </c>
      <c r="P150" s="9">
        <v>37305</v>
      </c>
      <c r="Q150" s="7">
        <f t="shared" si="5"/>
        <v>0.97346200241254521</v>
      </c>
      <c r="R150" s="13">
        <v>0.81100000000000005</v>
      </c>
    </row>
    <row r="151" spans="1:18" ht="17" x14ac:dyDescent="0.2">
      <c r="A151" s="1">
        <v>150</v>
      </c>
      <c r="B151" s="16">
        <f t="shared" si="4"/>
        <v>45914</v>
      </c>
      <c r="C151" s="3" t="s">
        <v>49</v>
      </c>
      <c r="D151" s="3" t="s">
        <v>61</v>
      </c>
      <c r="E151" s="3">
        <v>14</v>
      </c>
      <c r="F151" s="3" t="s">
        <v>10</v>
      </c>
      <c r="G151" s="2" t="s">
        <v>65</v>
      </c>
      <c r="H151" s="3" t="s">
        <v>30</v>
      </c>
      <c r="I151" s="3" t="s">
        <v>12</v>
      </c>
      <c r="J151" s="3">
        <v>3</v>
      </c>
      <c r="K151" s="3">
        <v>5.5</v>
      </c>
      <c r="L151" s="3" t="s">
        <v>15</v>
      </c>
      <c r="M151" s="5">
        <v>35437</v>
      </c>
      <c r="N151" s="3">
        <v>1.69</v>
      </c>
      <c r="O151" s="3">
        <v>1</v>
      </c>
      <c r="P151" s="9">
        <v>37755</v>
      </c>
      <c r="Q151" s="7">
        <f t="shared" si="5"/>
        <v>0.9386041583896173</v>
      </c>
      <c r="R151" s="13">
        <v>0.90100000000000002</v>
      </c>
    </row>
    <row r="152" spans="1:18" ht="17" x14ac:dyDescent="0.2">
      <c r="A152" s="1">
        <v>151</v>
      </c>
      <c r="B152" s="16">
        <f t="shared" si="4"/>
        <v>45916</v>
      </c>
      <c r="C152" s="3" t="s">
        <v>52</v>
      </c>
      <c r="D152" s="3" t="s">
        <v>61</v>
      </c>
      <c r="E152" s="3">
        <v>16</v>
      </c>
      <c r="F152" s="3" t="s">
        <v>10</v>
      </c>
      <c r="G152" s="2" t="s">
        <v>65</v>
      </c>
      <c r="H152" s="3" t="s">
        <v>43</v>
      </c>
      <c r="I152" s="3" t="s">
        <v>14</v>
      </c>
      <c r="J152" s="3">
        <v>3</v>
      </c>
      <c r="K152" s="3">
        <v>7</v>
      </c>
      <c r="L152" s="3" t="s">
        <v>15</v>
      </c>
      <c r="M152" s="5">
        <v>35886</v>
      </c>
      <c r="N152" s="3">
        <v>1.1000000000000001</v>
      </c>
      <c r="O152" s="3">
        <v>-1</v>
      </c>
      <c r="P152" s="9">
        <v>37755</v>
      </c>
      <c r="Q152" s="7">
        <f t="shared" si="5"/>
        <v>0.95049662296384585</v>
      </c>
      <c r="R152" s="13">
        <v>0.86099999999999999</v>
      </c>
    </row>
    <row r="153" spans="1:18" ht="17" x14ac:dyDescent="0.2">
      <c r="A153" s="1">
        <v>152</v>
      </c>
      <c r="B153" s="16">
        <f t="shared" si="4"/>
        <v>45917</v>
      </c>
      <c r="C153" s="3" t="s">
        <v>51</v>
      </c>
      <c r="D153" s="3" t="s">
        <v>61</v>
      </c>
      <c r="E153" s="3">
        <v>17</v>
      </c>
      <c r="F153" s="3" t="s">
        <v>10</v>
      </c>
      <c r="G153" s="2" t="s">
        <v>65</v>
      </c>
      <c r="H153" s="3" t="s">
        <v>43</v>
      </c>
      <c r="I153" s="3" t="s">
        <v>12</v>
      </c>
      <c r="J153" s="3">
        <v>3</v>
      </c>
      <c r="K153" s="3">
        <v>6</v>
      </c>
      <c r="L153" s="3" t="s">
        <v>15</v>
      </c>
      <c r="M153" s="5">
        <v>36404</v>
      </c>
      <c r="N153" s="3">
        <v>1.34</v>
      </c>
      <c r="O153" s="3">
        <v>1</v>
      </c>
      <c r="P153" s="9">
        <v>37755</v>
      </c>
      <c r="Q153" s="7">
        <f t="shared" si="5"/>
        <v>0.96421666004502715</v>
      </c>
      <c r="R153" s="13">
        <v>0.90800000000000003</v>
      </c>
    </row>
    <row r="154" spans="1:18" ht="17" x14ac:dyDescent="0.2">
      <c r="A154" s="1">
        <v>153</v>
      </c>
      <c r="B154" s="16">
        <f t="shared" si="4"/>
        <v>45918</v>
      </c>
      <c r="C154" s="3" t="s">
        <v>46</v>
      </c>
      <c r="D154" s="3" t="s">
        <v>61</v>
      </c>
      <c r="E154" s="3">
        <v>18</v>
      </c>
      <c r="F154" s="3" t="s">
        <v>10</v>
      </c>
      <c r="G154" s="2" t="s">
        <v>65</v>
      </c>
      <c r="H154" s="3" t="s">
        <v>43</v>
      </c>
      <c r="I154" s="3" t="s">
        <v>14</v>
      </c>
      <c r="J154" s="3">
        <v>3</v>
      </c>
      <c r="K154" s="3">
        <v>6</v>
      </c>
      <c r="L154" s="3" t="s">
        <v>13</v>
      </c>
      <c r="M154" s="5">
        <v>32838</v>
      </c>
      <c r="N154" s="3">
        <v>1.19</v>
      </c>
      <c r="O154" s="3">
        <v>-1</v>
      </c>
      <c r="P154" s="9">
        <v>37755</v>
      </c>
      <c r="Q154" s="7">
        <f t="shared" si="5"/>
        <v>0.86976559396106479</v>
      </c>
      <c r="R154" s="13">
        <v>0.83099999999999996</v>
      </c>
    </row>
    <row r="155" spans="1:18" x14ac:dyDescent="0.2">
      <c r="A155" s="1">
        <v>154</v>
      </c>
      <c r="B155" s="16">
        <f t="shared" si="4"/>
        <v>45919</v>
      </c>
      <c r="C155" s="3" t="s">
        <v>47</v>
      </c>
      <c r="D155" s="3" t="s">
        <v>61</v>
      </c>
      <c r="E155" s="3">
        <v>19</v>
      </c>
      <c r="F155" s="3" t="s">
        <v>10</v>
      </c>
      <c r="G155" s="3" t="s">
        <v>66</v>
      </c>
      <c r="H155" s="3" t="s">
        <v>20</v>
      </c>
      <c r="I155" s="3" t="s">
        <v>12</v>
      </c>
      <c r="J155" s="3">
        <v>3</v>
      </c>
      <c r="K155" s="3">
        <v>5</v>
      </c>
      <c r="L155" s="3" t="s">
        <v>15</v>
      </c>
      <c r="M155" s="5">
        <v>10046</v>
      </c>
      <c r="N155" s="3">
        <v>1.5</v>
      </c>
      <c r="O155" s="3">
        <v>1</v>
      </c>
      <c r="P155" s="9">
        <v>10046</v>
      </c>
      <c r="Q155" s="7">
        <f t="shared" si="5"/>
        <v>1</v>
      </c>
      <c r="R155" s="13">
        <v>0.878</v>
      </c>
    </row>
    <row r="156" spans="1:18" x14ac:dyDescent="0.2">
      <c r="A156" s="1">
        <v>155</v>
      </c>
      <c r="B156" s="16">
        <f t="shared" si="4"/>
        <v>45920</v>
      </c>
      <c r="C156" s="3" t="s">
        <v>48</v>
      </c>
      <c r="D156" s="3" t="s">
        <v>61</v>
      </c>
      <c r="E156" s="3">
        <v>20</v>
      </c>
      <c r="F156" s="3" t="s">
        <v>10</v>
      </c>
      <c r="G156" s="3" t="s">
        <v>66</v>
      </c>
      <c r="H156" s="3" t="s">
        <v>20</v>
      </c>
      <c r="I156" s="3" t="s">
        <v>12</v>
      </c>
      <c r="J156" s="3">
        <v>3</v>
      </c>
      <c r="K156" s="3">
        <v>4</v>
      </c>
      <c r="L156" s="3" t="s">
        <v>15</v>
      </c>
      <c r="M156" s="5">
        <v>10046</v>
      </c>
      <c r="N156" s="3">
        <v>1.42</v>
      </c>
      <c r="O156" s="3">
        <v>2</v>
      </c>
      <c r="P156" s="9">
        <v>10046</v>
      </c>
      <c r="Q156" s="7">
        <f t="shared" si="5"/>
        <v>1</v>
      </c>
      <c r="R156" s="13">
        <v>0.89800000000000002</v>
      </c>
    </row>
    <row r="157" spans="1:18" x14ac:dyDescent="0.2">
      <c r="A157" s="1">
        <v>156</v>
      </c>
      <c r="B157" s="16">
        <f t="shared" si="4"/>
        <v>45921</v>
      </c>
      <c r="C157" s="3" t="s">
        <v>49</v>
      </c>
      <c r="D157" s="3" t="s">
        <v>61</v>
      </c>
      <c r="E157" s="3">
        <v>21</v>
      </c>
      <c r="F157" s="3" t="s">
        <v>10</v>
      </c>
      <c r="G157" s="3" t="s">
        <v>66</v>
      </c>
      <c r="H157" s="3" t="s">
        <v>20</v>
      </c>
      <c r="I157" s="3" t="s">
        <v>14</v>
      </c>
      <c r="J157" s="3">
        <v>3</v>
      </c>
      <c r="K157" s="3">
        <v>5</v>
      </c>
      <c r="L157" s="3" t="s">
        <v>15</v>
      </c>
      <c r="M157" s="5">
        <v>10046</v>
      </c>
      <c r="N157" s="3">
        <v>1.39</v>
      </c>
      <c r="O157" s="3">
        <v>-1</v>
      </c>
      <c r="P157" s="9">
        <v>10046</v>
      </c>
      <c r="Q157" s="7">
        <f t="shared" si="5"/>
        <v>1</v>
      </c>
      <c r="R157" s="13">
        <v>0.89800000000000002</v>
      </c>
    </row>
    <row r="158" spans="1:18" x14ac:dyDescent="0.2">
      <c r="A158" s="1">
        <v>157</v>
      </c>
      <c r="B158" s="16">
        <f t="shared" si="4"/>
        <v>45923</v>
      </c>
      <c r="C158" s="3" t="s">
        <v>52</v>
      </c>
      <c r="D158" s="3" t="s">
        <v>61</v>
      </c>
      <c r="E158" s="3">
        <v>23</v>
      </c>
      <c r="F158" s="3" t="s">
        <v>10</v>
      </c>
      <c r="G158" s="3" t="s">
        <v>66</v>
      </c>
      <c r="H158" s="3" t="s">
        <v>18</v>
      </c>
      <c r="I158" s="3" t="s">
        <v>12</v>
      </c>
      <c r="J158" s="3">
        <v>3</v>
      </c>
      <c r="K158" s="3">
        <v>4</v>
      </c>
      <c r="L158" s="3" t="s">
        <v>15</v>
      </c>
      <c r="M158" s="5">
        <v>42927</v>
      </c>
      <c r="N158" s="3">
        <v>1.05</v>
      </c>
      <c r="O158" s="3">
        <v>1</v>
      </c>
      <c r="P158" s="9">
        <v>42500</v>
      </c>
      <c r="Q158" s="7">
        <f t="shared" si="5"/>
        <v>1.0100470588235295</v>
      </c>
      <c r="R158" s="13">
        <v>0.96</v>
      </c>
    </row>
    <row r="159" spans="1:18" x14ac:dyDescent="0.2">
      <c r="A159" s="1">
        <v>158</v>
      </c>
      <c r="B159" s="16">
        <f t="shared" si="4"/>
        <v>45924</v>
      </c>
      <c r="C159" s="3" t="s">
        <v>51</v>
      </c>
      <c r="D159" s="3" t="s">
        <v>61</v>
      </c>
      <c r="E159" s="3">
        <v>24</v>
      </c>
      <c r="F159" s="3" t="s">
        <v>10</v>
      </c>
      <c r="G159" s="3" t="s">
        <v>66</v>
      </c>
      <c r="H159" s="3" t="s">
        <v>18</v>
      </c>
      <c r="I159" s="3" t="s">
        <v>12</v>
      </c>
      <c r="J159" s="3">
        <v>3</v>
      </c>
      <c r="K159" s="3">
        <v>3</v>
      </c>
      <c r="L159" s="3" t="s">
        <v>15</v>
      </c>
      <c r="M159" s="5">
        <v>39438</v>
      </c>
      <c r="N159" s="3">
        <v>0.63</v>
      </c>
      <c r="O159" s="3">
        <v>2</v>
      </c>
      <c r="P159" s="9">
        <v>42500</v>
      </c>
      <c r="Q159" s="7">
        <f t="shared" si="5"/>
        <v>0.92795294117647054</v>
      </c>
      <c r="R159" s="13">
        <v>0.995</v>
      </c>
    </row>
    <row r="160" spans="1:18" x14ac:dyDescent="0.2">
      <c r="A160" s="1">
        <v>159</v>
      </c>
      <c r="B160" s="16">
        <f t="shared" si="4"/>
        <v>45925</v>
      </c>
      <c r="C160" s="3" t="s">
        <v>46</v>
      </c>
      <c r="D160" s="3" t="s">
        <v>61</v>
      </c>
      <c r="E160" s="3">
        <v>25</v>
      </c>
      <c r="F160" s="3" t="s">
        <v>10</v>
      </c>
      <c r="G160" s="3" t="s">
        <v>66</v>
      </c>
      <c r="H160" s="3" t="s">
        <v>18</v>
      </c>
      <c r="I160" s="3" t="s">
        <v>14</v>
      </c>
      <c r="J160" s="3">
        <v>3</v>
      </c>
      <c r="K160" s="3">
        <v>4</v>
      </c>
      <c r="L160" s="3" t="s">
        <v>15</v>
      </c>
      <c r="M160" s="5">
        <v>42129</v>
      </c>
      <c r="N160" s="3">
        <v>0.25</v>
      </c>
      <c r="O160" s="3">
        <v>-1</v>
      </c>
      <c r="P160" s="9">
        <v>42500</v>
      </c>
      <c r="Q160" s="7">
        <f t="shared" si="5"/>
        <v>0.99127058823529413</v>
      </c>
      <c r="R160" s="13">
        <v>0.98599999999999999</v>
      </c>
    </row>
    <row r="161" spans="1:18" ht="17" x14ac:dyDescent="0.2">
      <c r="A161" s="1">
        <v>160</v>
      </c>
      <c r="B161" s="16">
        <f t="shared" si="4"/>
        <v>45926</v>
      </c>
      <c r="C161" s="3" t="s">
        <v>47</v>
      </c>
      <c r="D161" s="3" t="s">
        <v>61</v>
      </c>
      <c r="E161" s="3">
        <v>26</v>
      </c>
      <c r="F161" s="3" t="s">
        <v>10</v>
      </c>
      <c r="G161" s="2" t="s">
        <v>65</v>
      </c>
      <c r="H161" s="3" t="s">
        <v>25</v>
      </c>
      <c r="I161" s="3" t="s">
        <v>12</v>
      </c>
      <c r="J161" s="3">
        <v>3</v>
      </c>
      <c r="K161" s="3">
        <v>4</v>
      </c>
      <c r="L161" s="3" t="s">
        <v>15</v>
      </c>
      <c r="M161" s="5">
        <v>37052</v>
      </c>
      <c r="N161" s="3">
        <v>0.15</v>
      </c>
      <c r="O161" s="3">
        <v>1</v>
      </c>
      <c r="P161" s="9">
        <v>37755</v>
      </c>
      <c r="Q161" s="7">
        <f t="shared" si="5"/>
        <v>0.98137994967553965</v>
      </c>
      <c r="R161" s="13">
        <v>1</v>
      </c>
    </row>
    <row r="162" spans="1:18" ht="17" x14ac:dyDescent="0.2">
      <c r="A162" s="1">
        <v>161</v>
      </c>
      <c r="B162" s="16">
        <f t="shared" si="4"/>
        <v>45927</v>
      </c>
      <c r="C162" s="3" t="s">
        <v>48</v>
      </c>
      <c r="D162" s="3" t="s">
        <v>61</v>
      </c>
      <c r="E162" s="3">
        <v>27</v>
      </c>
      <c r="F162" s="3" t="s">
        <v>10</v>
      </c>
      <c r="G162" s="2" t="s">
        <v>65</v>
      </c>
      <c r="H162" s="3" t="s">
        <v>25</v>
      </c>
      <c r="I162" s="3" t="s">
        <v>14</v>
      </c>
      <c r="J162" s="3">
        <v>3</v>
      </c>
      <c r="K162" s="3">
        <v>5</v>
      </c>
      <c r="L162" s="3" t="s">
        <v>13</v>
      </c>
      <c r="M162" s="5">
        <v>36478</v>
      </c>
      <c r="N162" s="3">
        <v>0.05</v>
      </c>
      <c r="O162" s="3">
        <v>-1</v>
      </c>
      <c r="P162" s="9">
        <v>37305</v>
      </c>
      <c r="Q162" s="7">
        <f t="shared" si="5"/>
        <v>0.97783138989411611</v>
      </c>
      <c r="R162" s="13">
        <v>1</v>
      </c>
    </row>
    <row r="163" spans="1:18" ht="17" x14ac:dyDescent="0.2">
      <c r="A163" s="1">
        <v>162</v>
      </c>
      <c r="B163" s="16">
        <f t="shared" si="4"/>
        <v>45928</v>
      </c>
      <c r="C163" s="3" t="s">
        <v>49</v>
      </c>
      <c r="D163" s="3" t="s">
        <v>61</v>
      </c>
      <c r="E163" s="3">
        <v>28</v>
      </c>
      <c r="F163" s="3" t="s">
        <v>10</v>
      </c>
      <c r="G163" s="2" t="s">
        <v>65</v>
      </c>
      <c r="H163" s="3" t="s">
        <v>25</v>
      </c>
      <c r="I163" s="3" t="s">
        <v>12</v>
      </c>
      <c r="J163" s="3">
        <v>3</v>
      </c>
      <c r="K163" s="3">
        <v>5</v>
      </c>
      <c r="L163" s="3" t="s">
        <v>13</v>
      </c>
      <c r="M163" s="5">
        <v>35503</v>
      </c>
      <c r="N163" s="3">
        <v>0.01</v>
      </c>
      <c r="O163" s="3">
        <v>1</v>
      </c>
      <c r="P163" s="9">
        <v>37305</v>
      </c>
      <c r="Q163" s="7">
        <f t="shared" si="5"/>
        <v>0.9516954831791985</v>
      </c>
      <c r="R163" s="13">
        <v>1</v>
      </c>
    </row>
  </sheetData>
  <autoFilter ref="G1:G163" xr:uid="{82B88A48-13B3-B44B-8122-F38717F322C6}"/>
  <dataConsolidate>
    <dataRefs count="1">
      <dataRef ref="C1:E1048576" sheet="RedSox 25"/>
    </dataRefs>
  </dataConsolid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BC13-A981-1A40-AED7-4870AB310877}">
  <dimension ref="A1:F10"/>
  <sheetViews>
    <sheetView tabSelected="1" zoomScale="125" workbookViewId="0">
      <selection activeCell="C14" sqref="C14"/>
    </sheetView>
  </sheetViews>
  <sheetFormatPr baseColWidth="10" defaultColWidth="8.83203125" defaultRowHeight="15" x14ac:dyDescent="0.2"/>
  <cols>
    <col min="1" max="1" width="8" style="17" customWidth="1"/>
    <col min="2" max="2" width="10" style="17" customWidth="1"/>
    <col min="3" max="3" width="12" style="17" customWidth="1"/>
    <col min="4" max="4" width="10" style="17" customWidth="1"/>
    <col min="5" max="5" width="15" style="17" customWidth="1"/>
    <col min="6" max="6" width="12" style="17" customWidth="1"/>
    <col min="7" max="16384" width="8.83203125" style="17"/>
  </cols>
  <sheetData>
    <row r="1" spans="1:6" x14ac:dyDescent="0.2">
      <c r="A1" s="23" t="s">
        <v>80</v>
      </c>
      <c r="B1" s="23" t="s">
        <v>67</v>
      </c>
      <c r="C1" s="23" t="s">
        <v>79</v>
      </c>
      <c r="D1" s="23" t="s">
        <v>9</v>
      </c>
      <c r="E1" s="23" t="s">
        <v>78</v>
      </c>
      <c r="F1" s="23" t="s">
        <v>54</v>
      </c>
    </row>
    <row r="2" spans="1:6" x14ac:dyDescent="0.2">
      <c r="A2" s="22">
        <v>92</v>
      </c>
      <c r="B2" s="22" t="s">
        <v>77</v>
      </c>
      <c r="C2" s="22" t="s">
        <v>34</v>
      </c>
      <c r="D2" s="22">
        <v>4</v>
      </c>
      <c r="E2" s="21">
        <v>0.85899999999999999</v>
      </c>
      <c r="F2" s="21">
        <v>0.31</v>
      </c>
    </row>
    <row r="3" spans="1:6" x14ac:dyDescent="0.2">
      <c r="A3" s="22">
        <v>93</v>
      </c>
      <c r="B3" s="22" t="s">
        <v>76</v>
      </c>
      <c r="C3" s="22" t="s">
        <v>34</v>
      </c>
      <c r="D3" s="22">
        <v>5</v>
      </c>
      <c r="E3" s="21">
        <v>0.79900000000000004</v>
      </c>
      <c r="F3" s="21">
        <v>0.33200000000000002</v>
      </c>
    </row>
    <row r="4" spans="1:6" x14ac:dyDescent="0.2">
      <c r="A4" s="22">
        <v>94</v>
      </c>
      <c r="B4" s="22" t="s">
        <v>75</v>
      </c>
      <c r="C4" s="22" t="s">
        <v>34</v>
      </c>
      <c r="D4" s="22">
        <v>6</v>
      </c>
      <c r="E4" s="21">
        <v>0.83899999999999997</v>
      </c>
      <c r="F4" s="21">
        <v>0.35299999999999998</v>
      </c>
    </row>
    <row r="5" spans="1:6" x14ac:dyDescent="0.2">
      <c r="A5" s="22">
        <v>95</v>
      </c>
      <c r="B5" s="22" t="s">
        <v>74</v>
      </c>
      <c r="C5" s="22" t="s">
        <v>20</v>
      </c>
      <c r="D5" s="22">
        <v>7</v>
      </c>
      <c r="E5" s="21">
        <v>0.84399999999999997</v>
      </c>
      <c r="F5" s="21">
        <v>0.40600000000000003</v>
      </c>
    </row>
    <row r="6" spans="1:6" x14ac:dyDescent="0.2">
      <c r="A6" s="22">
        <v>96</v>
      </c>
      <c r="B6" s="22" t="s">
        <v>73</v>
      </c>
      <c r="C6" s="22" t="s">
        <v>20</v>
      </c>
      <c r="D6" s="22">
        <v>8</v>
      </c>
      <c r="E6" s="21">
        <v>0.93899999999999995</v>
      </c>
      <c r="F6" s="21">
        <v>0.44</v>
      </c>
    </row>
    <row r="7" spans="1:6" x14ac:dyDescent="0.2">
      <c r="A7" s="22">
        <v>97</v>
      </c>
      <c r="B7" s="22" t="s">
        <v>72</v>
      </c>
      <c r="C7" s="22" t="s">
        <v>20</v>
      </c>
      <c r="D7" s="22">
        <v>9</v>
      </c>
      <c r="E7" s="21">
        <v>0.97699999999999998</v>
      </c>
      <c r="F7" s="21">
        <v>0.504</v>
      </c>
    </row>
    <row r="8" spans="1:6" x14ac:dyDescent="0.2">
      <c r="A8" s="22">
        <v>98</v>
      </c>
      <c r="B8" s="22" t="s">
        <v>71</v>
      </c>
      <c r="C8" s="22" t="s">
        <v>20</v>
      </c>
      <c r="D8" s="22">
        <v>10</v>
      </c>
      <c r="E8" s="21">
        <v>0.97799999999999998</v>
      </c>
      <c r="F8" s="21">
        <v>0.56200000000000006</v>
      </c>
    </row>
    <row r="10" spans="1:6" x14ac:dyDescent="0.2">
      <c r="A10" s="20" t="s">
        <v>70</v>
      </c>
      <c r="E10" s="19">
        <v>0.91200000000000003</v>
      </c>
      <c r="F10" s="18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RedSox 25</vt:lpstr>
      <vt:lpstr>Streak Viz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Wekstein</cp:lastModifiedBy>
  <dcterms:created xsi:type="dcterms:W3CDTF">2026-04-07T05:52:11Z</dcterms:created>
  <dcterms:modified xsi:type="dcterms:W3CDTF">2026-04-14T02:23:51Z</dcterms:modified>
</cp:coreProperties>
</file>